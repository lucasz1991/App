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db60c3444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genliste" sheetId="1" r:id="Rd6e79b2a72534d28"/>
    <x:sheet xmlns:r="http://schemas.openxmlformats.org/officeDocument/2006/relationships" name="Bremszettel" sheetId="2" r:id="R5500dd0599ab4050"/>
  </x:sheets>
  <x:definedNames>
    <x:definedName name="Wagennummer">Wagenliste!$AB$10:$AB$54</x:definedName>
  </x:definedNames>
</x:workbook>
</file>

<file path=xl/sharedStrings.xml><?xml version="1.0" encoding="utf-8"?>
<x:sst xmlns:x="http://schemas.openxmlformats.org/spreadsheetml/2006/main">
  <x:si>
    <x:t xml:space="preserve">Wagenliste</x:t>
  </x:si>
  <x:si>
    <x:t xml:space="preserve">Zug:</x:t>
  </x:si>
  <x:si>
    <x:t xml:space="preserve">am:</x:t>
  </x:si>
  <x:si>
    <x:t xml:space="preserve">Referenz:</x:t>
  </x:si>
  <x:si>
    <x:t xml:space="preserve">von:</x:t>
  </x:si>
  <x:si>
    <x:t xml:space="preserve">nach:</x:t>
  </x:si>
  <x:si>
    <x:t xml:space="preserve">Lfd. Nr:</x:t>
  </x:si>
  <x:si>
    <x:t xml:space="preserve">Wagennummer</x:t>
  </x:si>
  <x:si>
    <x:t xml:space="preserve">Gattung</x:t>
  </x:si>
  <x:si>
    <x:t xml:space="preserve">Achsen</x:t>
  </x:si>
  <x:si>
    <x:t xml:space="preserve">LüP in m</x:t>
  </x:si>
  <x:si>
    <x:t xml:space="preserve">Gewicht Wagen</x:t>
  </x:si>
  <x:si>
    <x:t xml:space="preserve">Gewicht Ladung</x:t>
  </x:si>
  <x:si>
    <x:t xml:space="preserve">Gesamt Gewicht</x:t>
  </x:si>
  <x:si>
    <x:t xml:space="preserve">Brems-gewicht</x:t>
  </x:si>
  <x:si>
    <x:t xml:space="preserve">Versand-           bahnhof</x:t>
  </x:si>
  <x:si>
    <x:t xml:space="preserve">Bestimmungs-bahnhof</x:t>
  </x:si>
  <x:si>
    <x:t xml:space="preserve">K/L/LL</x:t>
  </x:si>
  <x:si>
    <x:t xml:space="preserve">Feststellbrem. In kN</x:t>
  </x:si>
  <x:si>
    <x:t xml:space="preserve">V/max:</x:t>
  </x:si>
  <x:si>
    <x:t xml:space="preserve">1+2</x:t>
  </x:si>
  <x:si>
    <x:t xml:space="preserve">3+4</x:t>
  </x:si>
  <x:si>
    <x:t xml:space="preserve">5 - 8</x:t>
  </x:si>
  <x:si>
    <x:t xml:space="preserve">9 -11</x:t>
  </x:si>
  <x:si>
    <x:t xml:space="preserve">leer</x:t>
  </x:si>
  <x:si>
    <x:t xml:space="preserve">bel</x:t>
  </x:si>
  <x:si>
    <x:t xml:space="preserve">in t</x:t>
  </x:si>
  <x:si>
    <x:t xml:space="preserve">G</x:t>
  </x:si>
  <x:si>
    <x:t xml:space="preserve">P</x:t>
  </x:si>
  <x:si>
    <x:t xml:space="preserve">Bemerkung</x:t>
  </x:si>
  <x:si>
    <x:t xml:space="preserve">Zusätzliche Bemerkung vor Abfahrt</x:t>
  </x:si>
  <x:si>
    <x:t xml:space="preserve">Anzahl der Achsen:</x:t>
  </x:si>
  <x:si>
    <x:t xml:space="preserve">G -25%</x:t>
  </x:si>
  <x:si>
    <x:t xml:space="preserve">Anzahl der Bremsen:</x:t>
  </x:si>
  <x:si>
    <x:t xml:space="preserve">P -19%</x:t>
  </x:si>
  <x:si>
    <x:t xml:space="preserve">Anz. Diskusbremsen:</x:t>
  </x:si>
  <x:si>
    <x:t xml:space="preserve">P -10%</x:t>
  </x:si>
  <x:si>
    <x:t xml:space="preserve">Anz. Kunststoffbremsen:</x:t>
  </x:si>
  <x:si>
    <x:t xml:space="preserve">P -  5%</x:t>
  </x:si>
  <x:si>
    <x:t xml:space="preserve">Datum</x:t>
  </x:si>
  <x:si>
    <x:t xml:space="preserve">Uhrzeit</x:t>
  </x:si>
  <x:si>
    <x:t xml:space="preserve">Unterschrift</x:t>
  </x:si>
  <x:si>
    <x:t xml:space="preserve">Länge über Puffer:</x:t>
  </x:si>
  <x:si>
    <x:t xml:space="preserve">m</x:t>
  </x:si>
  <x:si>
    <x:t xml:space="preserve">Wagenliste erstellt:</x:t>
  </x:si>
  <x:si>
    <x:t xml:space="preserve">Bremsgewicht  G+P:</x:t>
  </x:si>
  <x:si>
    <x:t xml:space="preserve">t</x:t>
  </x:si>
  <x:si>
    <x:t xml:space="preserve">WU durchgeführt:</x:t>
  </x:si>
  <x:si>
    <x:t xml:space="preserve">Gesamtgewicht:</x:t>
  </x:si>
  <x:si>
    <x:t xml:space="preserve">volle Bremsprobe duchgeführt:</x:t>
  </x:si>
  <x:si>
    <x:t xml:space="preserve">Wagenliste zum Rechnen</x:t>
  </x:si>
  <x:si>
    <x:t xml:space="preserve">Prüfziffer Richtig</x:t>
  </x:si>
  <x:si>
    <x:t xml:space="preserve">W1</x:t>
  </x:si>
  <x:si>
    <x:t xml:space="preserve">Summe</x:t>
  </x:si>
  <x:si>
    <x:t xml:space="preserve">nächster Zehner</x:t>
  </x:si>
  <x:si>
    <x:t xml:space="preserve">Differenz=Selbstkontrollziffer</x:t>
  </x:si>
  <x:si>
    <x:r>
      <x:t xml:space="preserve">Bremszettel</x:t>
    </x:r>
    <x:r>
      <x:rPr>
        <x:sz val="10"/>
        <x:rFont val="Arial"/>
        <x:family val="2"/>
      </x:rPr>
      <x:t xml:space="preserve">                             </x:t>
    </x:r>
    <x:r>
      <x:rPr>
        <x:sz val="11"/>
        <x:rFont val="Arial"/>
        <x:family val="2"/>
      </x:rPr>
      <x:t xml:space="preserve">Datum </x:t>
    </x:r>
    <x:r>
      <x:rPr>
        <x:u val="single"/>
        <x:sz val="11"/>
        <x:rFont val="Arial"/>
        <x:family val="2"/>
      </x:rPr>
      <x:t xml:space="preserve">                                       </x:t>
    </x:r>
    <x:r>
      <x:rPr>
        <x:sz val="11"/>
        <x:rFont val="Arial"/>
        <x:family val="2"/>
      </x:rPr>
      <x:t xml:space="preserve">  </x:t>
    </x:r>
  </x:si>
  <x:si>
    <x:t xml:space="preserve">a</x:t>
  </x:si>
  <x:si>
    <x:t xml:space="preserve">b</x:t>
  </x:si>
  <x:si>
    <x:t xml:space="preserve">Zugnummer(n)</x:t>
  </x:si>
  <x:si>
    <x:t xml:space="preserve">ab Betriebsstelle</x:t>
  </x:si>
  <x:si>
    <x:t xml:space="preserve">Zeile</x:t>
  </x:si>
  <x:si>
    <x:t xml:space="preserve">Bezeichnung</x:t>
  </x:si>
  <x:si>
    <x:t xml:space="preserve">Wagenzug</x:t>
  </x:si>
  <x:si>
    <x:t xml:space="preserve">arbeitende
Triebfahr-
zeuge</x:t>
  </x:si>
  <x:si>
    <x:t xml:space="preserve">Gesamt-
zug</x:t>
  </x:si>
  <x:si>
    <x:t xml:space="preserve">Angaben
für
Reise- und
Güterzüge</x:t>
  </x:si>
  <x:si>
    <x:t xml:space="preserve">   Gewicht [t]</x:t>
  </x:si>
  <x:si>
    <x:t xml:space="preserve">   Bremsgewicht [t]</x:t>
  </x:si>
  <x:si>
    <x:t xml:space="preserve">   Zahl der Achsen</x:t>
  </x:si>
  <x:si>
    <x:t xml:space="preserve">   Mindestbremshundertstel</x:t>
  </x:si>
  <x:si>
    <x:t xml:space="preserve">   Vorhandene
   Bremshundertstel</x:t>
  </x:si>
  <x:si>
    <x:r>
      <x:t xml:space="preserve">Zeile 2, Sp.6 x 100</x:t>
    </x:r>
    <x:r>
      <x:rPr>
        <x:sz val="10"/>
        <x:rFont val="Arial"/>
        <x:family val="2"/>
      </x:rPr>
      <x:t xml:space="preserve">
Zeile 1, Sp. 6</x:t>
    </x:r>
  </x:si>
  <x:si>
    <x:t xml:space="preserve">   fehlende Bremshundertstel</x:t>
  </x:si>
  <x:si>
    <x:t xml:space="preserve">*)</x:t>
  </x:si>
  <x:si>
    <x:t xml:space="preserve">   Nummer des letzten Fahrzeugs</x:t>
  </x:si>
  <x:si>
    <x:t xml:space="preserve">   Zahl der einlösigen Bremsen</x:t>
  </x:si>
  <x:si>
    <x:t xml:space="preserve">   Zahl der mehrlösigen Bremsen</x:t>
  </x:si>
  <x:si>
    <x:t xml:space="preserve">   Zahl der Bremsen mit          </x:t>
  </x:si>
  <x:si>
    <x:r>
      <x:t xml:space="preserve">   Zahl der Bremsen mit      </x:t>
    </x:r>
    <x:r>
      <x:rPr>
        <x:sz val="10"/>
        <x:rFont val="Arial"/>
        <x:family val="2"/>
      </x:rPr>
      <x:t xml:space="preserve">          </x:t>
    </x:r>
  </x:si>
  <x:si>
    <x:t xml:space="preserve">       ,       und            </x:t>
  </x:si>
  <x:si>
    <x:t xml:space="preserve">   Zahl der Matrossow-Bremsen</x:t>
  </x:si>
  <x:si>
    <x:t xml:space="preserve">   Länge [m]</x:t>
  </x:si>
  <x:si>
    <x:t xml:space="preserve">   Zahl der gebremsten Achsen</x:t>
  </x:si>
  <x:si>
    <x:t xml:space="preserve">Zahl der erforderlich   gebremsten Achsen</x:t>
  </x:si>
  <x:si>
    <x:r>
      <x:t xml:space="preserve">Zeile 3, Sp. 4 x 9</x:t>
    </x:r>
    <x:r>
      <x:rPr>
        <x:sz val="10"/>
        <x:rFont val="Arial"/>
        <x:family val="2"/>
      </x:rPr>
      <x:t xml:space="preserve">
10</x:t>
    </x:r>
  </x:si>
  <x:si>
    <x:t xml:space="preserve">   Im Wagenzug sind Fahrzeuge, deren zulässige
   Geschwindigkeiten niedriger ist als die des Zuges.</x:t>
  </x:si>
  <x:si>
    <x:r>
      <x:rPr>
        <x:u val="single"/>
        <x:sz val="10"/>
        <x:rFont val="Arial"/>
        <x:family val="2"/>
      </x:rPr>
      <x:t xml:space="preserve">nein</x:t>
    </x:r>
    <x:r>
      <x:rPr>
        <x:sz val="10"/>
        <x:rFont val="Arial"/>
        <x:family val="2"/>
      </x:rPr>
      <x:t xml:space="preserve"> / ja  *)</x:t>
    </x:r>
  </x:si>
  <x:si>
    <x:t xml:space="preserve">Nicht zutreffendes schräg durchstreichen</x:t>
  </x:si>
  <x:si>
    <x:t xml:space="preserve">   Wenn ja, niedrigste zulässige Geschwindigkeit
   eines Fahrzeugs im Wagenzug</x:t>
  </x:si>
  <x:si>
    <x:t xml:space="preserve">..…  km/h</x:t>
  </x:si>
  <x:si>
    <x:t xml:space="preserve">Besondere
Angaben
für
Reisezüge</x:t>
  </x:si>
  <x:si>
    <x:t xml:space="preserve">   NBÜ/ep-Bremse an allen Fahrzeugen im
   Wagenzug vorhanden</x:t>
  </x:si>
  <x:si>
    <x:t xml:space="preserve">nein / ja</x:t>
  </x:si>
  <x:si>
    <x:t xml:space="preserve">   Notbremsüberbrückung wirksam</x:t>
  </x:si>
  <x:si>
    <x:t xml:space="preserve">   Im Wagenzug sind
   Fahrzeuge mit</x:t>
  </x:si>
  <x:si>
    <x:r>
      <x:t xml:space="preserve">   den Kennbuchstaben
   </x:t>
    </x:r>
    <x:r>
      <x:rPr>
        <x:b/>
        <x:sz val="9"/>
        <x:rFont val="Arial"/>
        <x:family val="2"/>
      </x:rPr>
      <x:t xml:space="preserve">h</x:t>
    </x:r>
    <x:r>
      <x:rPr>
        <x:sz val="9"/>
        <x:rFont val="Arial"/>
        <x:family val="2"/>
      </x:rPr>
      <x:t xml:space="preserve">, </x:t>
    </x:r>
    <x:r>
      <x:rPr>
        <x:b/>
        <x:sz val="9"/>
        <x:rFont val="Arial"/>
        <x:family val="2"/>
      </x:rPr>
      <x:t xml:space="preserve">z</x:t>
    </x:r>
    <x:r>
      <x:rPr>
        <x:sz val="9"/>
        <x:rFont val="Arial"/>
        <x:family val="2"/>
      </x:rPr>
      <x:t xml:space="preserve">, oder </x:t>
    </x:r>
  </x:si>
  <x:si>
    <x:r>
      <x:t xml:space="preserve">   den Kennbuchstaben
    </x:t>
    </x:r>
    <x:r>
      <x:rPr>
        <x:b/>
        <x:sz val="9"/>
        <x:rFont val="Arial"/>
        <x:family val="2"/>
      </x:rPr>
      <x:t xml:space="preserve">n</x:t>
    </x:r>
    <x:r>
      <x:rPr>
        <x:sz val="9"/>
        <x:rFont val="Arial"/>
        <x:family val="2"/>
      </x:rPr>
      <x:t xml:space="preserve"> oder </x:t>
    </x:r>
    <x:r>
      <x:rPr>
        <x:b/>
        <x:sz val="9"/>
        <x:rFont val="Arial"/>
        <x:family val="2"/>
      </x:rPr>
      <x:t xml:space="preserve">y</x:t>
    </x:r>
  </x:si>
  <x:si>
    <x:t xml:space="preserve">   Im Wagenzug sind 
   ausschließlich</x:t>
  </x:si>
  <x:si>
    <x:r>
      <x:t xml:space="preserve">   Fahrzeuge mit </x:t>
    </x:r>
    <x:r>
      <x:rPr>
        <x:b/>
        <x:sz val="10"/>
        <x:rFont val="Arial"/>
        <x:family val="2"/>
      </x:rPr>
      <x:t xml:space="preserve">TB 0</x:t>
    </x:r>
  </x:si>
  <x:si>
    <x:r>
      <x:t xml:space="preserve">    Fahrzeuge mit </x:t>
    </x:r>
    <x:r>
      <x:rPr>
        <x:b/>
        <x:sz val="9"/>
        <x:rFont val="Arial"/>
        <x:family val="2"/>
      </x:rPr>
      <x:t xml:space="preserve">"o. Zub"</x:t>
    </x:r>
  </x:si>
  <x:si>
    <x:r>
      <x:t xml:space="preserve">   Fahrzeuge mit dem
   Kennbuchstaben</x:t>
    </x:r>
    <x:r>
      <x:rPr>
        <x:b/>
        <x:sz val="10"/>
        <x:rFont val="Arial"/>
        <x:family val="2"/>
      </x:rPr>
      <x:t xml:space="preserve"> a</x:t>
    </x:r>
  </x:si>
  <x:si>
    <x:t xml:space="preserve">Besondere
Angaben
für
Güterzüge</x:t>
  </x:si>
  <x:si>
    <x:t xml:space="preserve">   Im Wagenzug sind Fahrzeuge mit gefährlichen
   Gütern</x:t>
  </x:si>
  <x:si>
    <x:r>
      <x:rPr>
        <x:u val="single"/>
        <x:sz val="10"/>
        <x:rFont val="Arial"/>
        <x:family val="2"/>
      </x:rPr>
      <x:t xml:space="preserve">nein</x:t>
    </x:r>
    <x:r>
      <x:rPr>
        <x:sz val="10"/>
        <x:rFont val="Arial"/>
        <x:family val="2"/>
      </x:rPr>
      <x:t xml:space="preserve"> / ja</x:t>
    </x:r>
  </x:si>
  <x:si>
    <x:t xml:space="preserve">   ep-Bremse an allen Fahrzeugen im Wagenzug
   wirksam</x:t>
  </x:si>
  <x:si>
    <x:r>
      <x:t xml:space="preserve">   Bremszettel ausgefertigt </x:t>
    </x:r>
    <x:r>
      <x:rPr>
        <x:sz val="10"/>
        <x:rFont val="Arial"/>
        <x:family val="2"/>
      </x:rPr>
      <x:t xml:space="preserve">(Name)                                      </x:t>
    </x:r>
  </x:si>
  <x:si>
    <x:t xml:space="preserve">*) Weisung der Betriebszentrale einholen</x:t>
  </x:si>
</x:sst>
</file>

<file path=xl/styles.xml><?xml version="1.0" encoding="utf-8"?>
<x:styleSheet xmlns:x="http://schemas.openxmlformats.org/spreadsheetml/2006/main">
  <x:numFmts count="7">
    <x:numFmt numFmtId="164" formatCode="000"/>
    <x:numFmt numFmtId="165" formatCode="0.0"/>
    <x:numFmt numFmtId="166" formatCode="0000"/>
    <x:numFmt numFmtId="167" formatCode="00"/>
    <x:numFmt numFmtId="168" formatCode="[$-F400]h:mm:ss\ AM/PM"/>
    <x:numFmt numFmtId="200" formatCode="0.00"/>
    <x:numFmt numFmtId="201" formatCode="dd.mm.yyyy"/>
  </x:numFmts>
  <x:fonts count="35">
    <x:font>
      <x:sz val="10"/>
      <x:name val="Arial"/>
    </x:font>
    <x:font>
      <x:sz val="10"/>
      <x:name val="Arial"/>
    </x:font>
    <x:font>
      <x:sz val="12"/>
      <x:name val="Arial"/>
    </x:font>
    <x:font>
      <x:sz val="8"/>
      <x:name val="Arial"/>
    </x:font>
    <x:font>
      <x:sz val="9"/>
      <x:name val="Arial"/>
    </x:font>
    <x:font>
      <x:sz val="10"/>
      <x:name val="Arial"/>
    </x:font>
    <x:font>
      <x:b/>
      <x:sz val="11"/>
      <x:name val="Arial"/>
    </x:font>
    <x:font>
      <x:b/>
      <x:sz val="10"/>
      <x:name val="Arial"/>
    </x:font>
    <x:font>
      <x:b/>
      <x:sz val="12"/>
      <x:name val="Arial"/>
    </x:font>
    <x:font>
      <x:b/>
      <x:sz val="8"/>
      <x:name val="Arial"/>
    </x:font>
    <x:font>
      <x:sz val="11"/>
      <x:name val="Arial"/>
    </x:font>
    <x:font>
      <x:b/>
      <x:sz val="10"/>
      <x:color indexed="8"/>
      <x:name val="Arial"/>
    </x:font>
    <x:font>
      <x:b/>
      <x:sz val="16"/>
      <x:name val="Arial"/>
    </x:font>
    <x:font>
      <x:sz val="11"/>
      <x:name val="Arial"/>
    </x:font>
    <x:font>
      <x:sz val="16"/>
      <x:name val="Arial"/>
    </x:font>
    <x:font>
      <x:b/>
      <x:sz val="9"/>
      <x:name val="Arial"/>
    </x:font>
    <x:font>
      <x:sz val="10"/>
      <x:name val="Arial"/>
    </x:font>
    <x:font>
      <x:b/>
      <x:sz val="10"/>
      <x:name val="Arial"/>
    </x:font>
    <x:font>
      <x:b/>
      <x:sz val="18"/>
      <x:name val="Arial"/>
    </x:font>
    <x:font>
      <x:b/>
      <x:sz val="8"/>
      <x:color theme="1"/>
      <x:name val="Arial"/>
    </x:font>
    <x:font>
      <x:b/>
      <x:sz val="12"/>
      <x:color indexed="8"/>
      <x:name val="Arial"/>
    </x:font>
    <x:font>
      <x:sz val="10"/>
      <x:color theme="11"/>
      <x:name val="Arial"/>
    </x:font>
    <x:font>
      <x:sz val="10"/>
      <x:color theme="10"/>
      <x:name val="Arial"/>
    </x:font>
    <x:font>
      <x:b/>
      <x:sz val="9"/>
      <x:color indexed="8"/>
      <x:name val="Arial"/>
    </x:font>
    <x:font>
      <x:sz val="10"/>
      <x:name val="Calibri"/>
    </x:font>
    <x:font>
      <x:b/>
      <x:sz val="20"/>
      <x:color theme="3"/>
      <x:name val="Arial"/>
    </x:font>
    <x:font>
      <x:b/>
      <x:sz val="36"/>
      <x:name val="Arial"/>
    </x:font>
    <x:font>
      <x:b/>
      <x:sz val="11"/>
      <x:color theme="1"/>
      <x:name val="Arial"/>
    </x:font>
    <x:font>
      <x:b/>
      <x:sz val="10"/>
      <x:color rgb="FFFF0000"/>
      <x:name val="Arial"/>
    </x:font>
    <x:font>
      <x:sz val="9"/>
      <x:color rgb="FF000000"/>
      <x:name val="Verdana"/>
    </x:font>
    <x:font>
      <x:sz val="10"/>
      <x:name val="Rockwell"/>
    </x:font>
    <x:font>
      <x:b/>
      <x:sz val="20"/>
      <x:name val="Arial"/>
    </x:font>
    <x:font>
      <x:b/>
      <x:sz val="16"/>
      <x:color rgb="FFFFFFFF"/>
      <x:name val="Arial"/>
    </x:font>
    <x:font>
      <x:b/>
      <x:sz val="10"/>
      <x:color rgb="FF111827"/>
      <x:name val="Arial"/>
    </x:font>
    <x:font>
      <x:b/>
      <x:sz val="10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FF00"/>
      </x:patternFill>
    </x:fill>
    <x:fill>
      <x:patternFill patternType="solid">
        <x:fgColor theme="8" tint="0.39998"/>
      </x:patternFill>
    </x:fill>
    <x:fill>
      <x:patternFill patternType="solid">
        <x:fgColor theme="3" tint="0.79998"/>
      </x:patternFill>
    </x:fill>
    <x:fill>
      <x:patternFill patternType="solid">
        <x:fgColor theme="5" tint="0.79998"/>
      </x:patternFill>
    </x:fill>
    <x:fill>
      <x:patternFill patternType="solid">
        <x:fgColor theme="5" tint="0.39998"/>
      </x:patternFill>
    </x:fill>
    <x:fill>
      <x:patternFill patternType="solid">
        <x:fgColor rgb="FF1E3A8A"/>
      </x:patternFill>
    </x:fill>
    <x:fill>
      <x:patternFill patternType="solid">
        <x:fgColor rgb="FFDBEAFE"/>
      </x:patternFill>
    </x:fill>
  </x:fills>
  <x:borders count="288">
    <x:border/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bottom style="medium">
        <x:color auto="1"/>
      </x:bottom>
    </x:border>
    <x:border>
      <x:left style="medium">
        <x:color auto="1"/>
      </x:left>
      <x:right style="thin">
        <x:color auto="1"/>
      </x:right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top style="medium">
        <x:color auto="1"/>
      </x:top>
    </x:border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top style="thin">
        <x:color auto="1"/>
      </x:top>
      <x:bottom style="thin">
        <x:color auto="1"/>
      </x:bottom>
    </x:border>
    <x:border>
      <x:top style="medium">
        <x:color auto="1"/>
      </x:top>
      <x:bottom style="medium">
        <x:color auto="1"/>
      </x:bottom>
    </x:border>
    <x:border>
      <x:top style="thick">
        <x:color auto="1"/>
      </x:top>
    </x:border>
    <x:border>
      <x:right style="thick">
        <x:color auto="1"/>
      </x:right>
    </x:border>
    <x:border>
      <x:left style="thick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ck">
        <x:color auto="1"/>
      </x:left>
      <x:top style="medium">
        <x:color auto="1"/>
      </x:top>
      <x:bottom style="medium">
        <x:color auto="1"/>
      </x:bottom>
    </x:border>
    <x:border>
      <x:right style="thick">
        <x:color auto="1"/>
      </x:right>
      <x:top style="medium">
        <x:color auto="1"/>
      </x:top>
    </x:border>
    <x:border>
      <x:left style="thick">
        <x:color auto="1"/>
      </x:left>
      <x:right style="medium">
        <x:color auto="1"/>
      </x:right>
      <x:top style="medium">
        <x:color auto="1"/>
      </x:top>
      <x:bottom style="dotted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dotted">
        <x:color auto="1"/>
      </x:bottom>
    </x:border>
    <x:border>
      <x:left style="thick">
        <x:color auto="1"/>
      </x:left>
      <x:right style="medium">
        <x:color auto="1"/>
      </x:right>
      <x:top style="dotted">
        <x:color auto="1"/>
      </x:top>
      <x:bottom style="dotted">
        <x:color auto="1"/>
      </x:bottom>
    </x:border>
    <x:border>
      <x:left style="thin">
        <x:color auto="1"/>
      </x:left>
      <x:right style="thin">
        <x:color auto="1"/>
      </x:right>
      <x:top style="dotted">
        <x:color auto="1"/>
      </x:top>
      <x:bottom style="dotted">
        <x:color auto="1"/>
      </x:bottom>
    </x:border>
    <x:border>
      <x:left style="medium">
        <x:color auto="1"/>
      </x:left>
      <x:right style="thin">
        <x:color auto="1"/>
      </x:right>
      <x:top style="dotted">
        <x:color auto="1"/>
      </x:top>
      <x:bottom style="dotted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dotted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top style="thin">
        <x:color auto="1"/>
      </x:top>
      <x:bottom style="thin">
        <x:color auto="1"/>
      </x:bottom>
    </x:border>
    <x:border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dotted">
        <x:color auto="1"/>
      </x:bottom>
    </x:border>
    <x:border>
      <x:left style="thin">
        <x:color auto="1"/>
      </x:left>
      <x:right style="medium">
        <x:color auto="1"/>
      </x:right>
      <x:top style="dotted">
        <x:color auto="1"/>
      </x:top>
      <x:bottom style="dotted">
        <x:color auto="1"/>
      </x:bottom>
    </x:border>
    <x:border>
      <x:left style="thin">
        <x:color auto="1"/>
      </x:left>
      <x:right style="medium">
        <x:color auto="1"/>
      </x:right>
      <x:bottom style="medium">
        <x:color auto="1"/>
      </x:bottom>
    </x:border>
    <x:border>
      <x:left style="medium">
        <x:color auto="1"/>
      </x:left>
      <x:right style="thick">
        <x:color auto="1"/>
      </x:right>
      <x:top style="medium">
        <x:color auto="1"/>
      </x:top>
      <x:bottom style="medium">
        <x:color auto="1"/>
      </x:bottom>
    </x:border>
    <x:border>
      <x:left style="thick">
        <x:color auto="1"/>
      </x:left>
      <x:right style="medium">
        <x:color auto="1"/>
      </x:right>
      <x:top style="thick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thick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dotted">
        <x:color auto="1"/>
      </x:bottom>
    </x:border>
    <x:border>
      <x:left style="medium">
        <x:color auto="1"/>
      </x:left>
      <x:right style="medium">
        <x:color auto="1"/>
      </x:right>
      <x:top style="dotted">
        <x:color auto="1"/>
      </x:top>
      <x:bottom style="dotted">
        <x:color auto="1"/>
      </x:bottom>
    </x:border>
    <x:border>
      <x:left style="medium">
        <x:color auto="1"/>
      </x:left>
      <x:right style="medium">
        <x:color auto="1"/>
      </x:right>
      <x:bottom style="medium">
        <x:color auto="1"/>
      </x:bottom>
    </x:border>
    <x:border>
      <x:left style="medium">
        <x:color auto="1"/>
      </x:left>
      <x:right style="thick">
        <x:color auto="1"/>
      </x:right>
      <x:top style="medium">
        <x:color auto="1"/>
      </x:top>
      <x:bottom style="thick">
        <x:color auto="1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ck">
        <x:color auto="1"/>
      </x:bottom>
    </x:border>
    <x:border>
      <x:right style="thick">
        <x:color auto="1"/>
      </x:right>
      <x:bottom style="medium">
        <x:color auto="1"/>
      </x:bottom>
    </x:border>
    <x:border>
      <x:right style="thick">
        <x:color auto="1"/>
      </x:right>
      <x:top style="medium">
        <x:color auto="1"/>
      </x:top>
      <x:bottom style="dotted">
        <x:color auto="1"/>
      </x:bottom>
    </x:border>
    <x:border>
      <x:right style="thick">
        <x:color auto="1"/>
      </x:right>
      <x:top style="dotted">
        <x:color auto="1"/>
      </x:top>
      <x:bottom style="dotted">
        <x:color auto="1"/>
      </x:bottom>
    </x:border>
    <x:border>
      <x:right style="thick">
        <x:color auto="1"/>
      </x:right>
      <x:top style="medium">
        <x:color auto="1"/>
      </x:top>
      <x:bottom style="medium">
        <x:color auto="1"/>
      </x:bottom>
    </x:border>
    <x:border>
      <x:left style="thick">
        <x:color auto="1"/>
      </x:left>
      <x:top style="thick">
        <x:color auto="1"/>
      </x:top>
      <x:bottom style="medium">
        <x:color auto="1"/>
      </x:bottom>
    </x:border>
    <x:border>
      <x:top style="thick">
        <x:color auto="1"/>
      </x:top>
      <x:bottom style="medium">
        <x:color auto="1"/>
      </x:bottom>
    </x:border>
    <x:border>
      <x:right style="thick">
        <x:color auto="1"/>
      </x:right>
      <x:top style="thick">
        <x:color auto="1"/>
      </x:top>
      <x:bottom style="medium">
        <x:color auto="1"/>
      </x:bottom>
    </x:border>
    <x:border>
      <x:right style="thick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top style="thin">
        <x:color auto="1"/>
      </x:top>
      <x:bottom style="medium">
        <x:color auto="1"/>
      </x:bottom>
    </x:border>
    <x:border>
      <x:top style="thin">
        <x:color auto="1"/>
      </x:top>
      <x:bottom style="medium">
        <x:color auto="1"/>
      </x:bottom>
    </x:border>
    <x:border>
      <x:right style="thick">
        <x:color auto="1"/>
      </x:right>
      <x:top style="thin">
        <x:color auto="1"/>
      </x:top>
      <x:bottom style="medium">
        <x:color auto="1"/>
      </x:bottom>
    </x:border>
    <x:border>
      <x:left style="thick">
        <x:color auto="1"/>
      </x:left>
      <x:right style="medium">
        <x:color auto="1"/>
      </x:right>
      <x:top style="medium">
        <x:color auto="1"/>
      </x:top>
      <x:bottom style="thick">
        <x:color auto="1"/>
      </x:bottom>
    </x:border>
    <x:border>
      <x:left style="medium">
        <x:color auto="1"/>
      </x:left>
      <x:right style="medium">
        <x:color auto="1"/>
      </x:right>
      <x:top style="thick">
        <x:color auto="1"/>
      </x:top>
      <x:bottom style="thin">
        <x:color auto="1"/>
      </x:bottom>
    </x:border>
    <x:border>
      <x:top style="thick">
        <x:color auto="1"/>
      </x:top>
      <x:bottom style="thin">
        <x:color auto="1"/>
      </x:bottom>
    </x:border>
    <x:border>
      <x:left style="medium">
        <x:color auto="1"/>
      </x:left>
      <x:right style="thick">
        <x:color auto="1"/>
      </x:right>
      <x:top style="thick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bottom style="thin">
        <x:color auto="1"/>
      </x:bottom>
    </x:border>
    <x:border>
      <x:left style="medium">
        <x:color auto="1"/>
      </x:left>
      <x:top style="medium">
        <x:color auto="1"/>
      </x:top>
      <x:bottom style="thin">
        <x:color auto="1"/>
      </x:bottom>
    </x:border>
    <x:border>
      <x:top style="medium">
        <x:color auto="1"/>
      </x:top>
      <x:bottom style="thin">
        <x:color auto="1"/>
      </x:bottom>
    </x:border>
    <x:border>
      <x:right style="thick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top style="thin">
        <x:color auto="1"/>
      </x:top>
    </x:border>
    <x:border>
      <x:right style="thick">
        <x:color auto="1"/>
      </x:right>
      <x:top style="thin">
        <x:color auto="1"/>
      </x:top>
    </x:border>
    <x:border>
      <x:left style="medium">
        <x:color auto="1"/>
      </x:left>
    </x:border>
    <x:border>
      <x:left style="medium">
        <x:color auto="1"/>
      </x:left>
      <x:bottom style="medium">
        <x:color auto="1"/>
      </x:bottom>
    </x:border>
    <x:border>
      <x:left style="medium">
        <x:color auto="1"/>
      </x:left>
      <x:top style="medium">
        <x:color auto="1"/>
      </x:top>
    </x:border>
    <x:border>
      <x:left style="medium">
        <x:color auto="1"/>
      </x:left>
      <x:right style="medium">
        <x:color auto="1"/>
      </x:right>
    </x:border>
    <x:border>
      <x:left style="thick">
        <x:color auto="1"/>
      </x:left>
      <x:right style="medium">
        <x:color auto="1"/>
      </x:right>
      <x:top style="thick">
        <x:color auto="1"/>
      </x:top>
    </x:border>
    <x:border>
      <x:left style="medium">
        <x:color auto="1"/>
      </x:left>
      <x:right style="thin">
        <x:color auto="1"/>
      </x:right>
      <x:top style="thick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ck">
        <x:color auto="1"/>
      </x:top>
      <x:bottom style="medium">
        <x:color auto="1"/>
      </x:bottom>
    </x:border>
    <x:border>
      <x:left style="thick">
        <x:color auto="1"/>
      </x:left>
      <x:right style="medium">
        <x:color auto="1"/>
      </x:right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ck">
        <x:color auto="1"/>
      </x:left>
      <x:right style="medium">
        <x:color auto="1"/>
      </x:right>
      <x:bottom style="thick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</x:border>
    <x:border>
      <x:left style="thick">
        <x:color auto="1"/>
      </x:left>
      <x:top style="medium">
        <x:color auto="1"/>
      </x:top>
      <x:bottom style="thick">
        <x:color auto="1"/>
      </x:bottom>
    </x:border>
    <x:border>
      <x:top style="medium">
        <x:color auto="1"/>
      </x:top>
      <x:bottom style="thick">
        <x:color auto="1"/>
      </x:bottom>
    </x:border>
    <x:border>
      <x:right style="thick">
        <x:color auto="1"/>
      </x:right>
      <x:top style="medium">
        <x:color auto="1"/>
      </x:top>
      <x:bottom style="thick">
        <x:color auto="1"/>
      </x:bottom>
    </x:border>
    <x:border>
      <x:bottom style="medium">
        <x:color auto="1"/>
      </x:bottom>
    </x:border>
    <x:border>
      <x:left style="thick">
        <x:color auto="1"/>
      </x:left>
      <x:top style="thin">
        <x:color auto="1"/>
      </x:top>
      <x:bottom style="medium">
        <x:color auto="1"/>
      </x:bottom>
    </x:border>
    <x:border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ck">
        <x:color auto="1"/>
      </x:left>
      <x:top style="thin">
        <x:color auto="1"/>
      </x:top>
      <x:bottom style="thin">
        <x:color auto="1"/>
      </x:bottom>
    </x:border>
    <x:border>
      <x:left style="thick">
        <x:color auto="1"/>
      </x:left>
      <x:top style="medium">
        <x:color auto="1"/>
      </x:top>
      <x:bottom style="thin">
        <x:color auto="1"/>
      </x:bottom>
    </x:border>
    <x:border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top style="thick">
        <x:color auto="1"/>
      </x:top>
      <x:bottom style="thin">
        <x:color auto="1"/>
      </x:bottom>
    </x:border>
    <x:border>
      <x:right style="medium">
        <x:color auto="1"/>
      </x:right>
      <x:top style="thick">
        <x:color auto="1"/>
      </x:top>
      <x:bottom style="thin">
        <x:color auto="1"/>
      </x:bottom>
    </x:border>
    <x:border>
      <x:left style="medium">
        <x:color auto="1"/>
      </x:left>
      <x:top style="medium">
        <x:color auto="1"/>
      </x:top>
      <x:bottom style="thick">
        <x:color auto="1"/>
      </x:bottom>
    </x:border>
    <x:border>
      <x:right style="medium">
        <x:color auto="1"/>
      </x:right>
      <x:top style="medium">
        <x:color auto="1"/>
      </x:top>
      <x:bottom style="thick">
        <x:color auto="1"/>
      </x:bottom>
    </x:border>
    <x:border diagonalUp="1" diagonalDown="1">
      <x:left style="medium">
        <x:color auto="1"/>
      </x:left>
      <x:right style="medium">
        <x:color auto="1"/>
      </x:right>
      <x:top style="medium">
        <x:color auto="1"/>
      </x:top>
      <x:diagonal style="thin">
        <x:color auto="1"/>
      </x:diagonal>
    </x:border>
    <x:border diagonalUp="1" diagonalDown="1">
      <x:left style="medium">
        <x:color auto="1"/>
      </x:left>
      <x:right style="medium">
        <x:color auto="1"/>
      </x:right>
      <x:diagonal style="thin">
        <x:color auto="1"/>
      </x:diagonal>
    </x:border>
    <x:border diagonalUp="1" diagonalDown="1">
      <x:left style="medium">
        <x:color auto="1"/>
      </x:left>
      <x:right style="medium">
        <x:color auto="1"/>
      </x:right>
      <x:bottom style="medium">
        <x:color auto="1"/>
      </x:bottom>
      <x:diagonal style="thin">
        <x:color auto="1"/>
      </x:diagonal>
    </x:border>
    <x:border>
      <x:left style="medium">
        <x:color auto="1"/>
      </x:left>
      <x:top style="thin">
        <x:color auto="1"/>
      </x:top>
      <x:bottom style="thick">
        <x:color auto="1"/>
      </x:bottom>
    </x:border>
    <x:border>
      <x:right style="medium">
        <x:color auto="1"/>
      </x:right>
      <x:top style="thin">
        <x:color auto="1"/>
      </x:top>
      <x:bottom style="thick">
        <x:color auto="1"/>
      </x:bottom>
    </x:border>
    <x:border>
      <x:left style="medium">
        <x:color auto="1"/>
      </x:left>
      <x:right style="medium">
        <x:color auto="1"/>
      </x:right>
      <x:bottom style="thick">
        <x:color auto="1"/>
      </x:bottom>
    </x:border>
    <x:border>
      <x:left style="medium">
        <x:color auto="1"/>
      </x:left>
      <x:top style="thick">
        <x:color auto="1"/>
      </x:top>
      <x:bottom style="medium">
        <x:color auto="1"/>
      </x:bottom>
    </x:border>
    <x:border>
      <x:right style="medium">
        <x:color auto="1"/>
      </x:right>
      <x:top style="thick">
        <x:color auto="1"/>
      </x:top>
      <x:bottom style="medium">
        <x:color auto="1"/>
      </x:bottom>
    </x:border>
    <x:border>
      <x:left style="thick">
        <x:color auto="1"/>
      </x:left>
      <x:right style="medium">
        <x:color auto="1"/>
      </x:right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ck">
        <x:color auto="1"/>
      </x:top>
      <x:bottom style="medium">
        <x:color auto="1"/>
      </x:bottom>
    </x:border>
    <x:border>
      <x:left style="thin">
        <x:color auto="1"/>
      </x:left>
      <x:top style="thick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ck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ck">
        <x:color auto="1"/>
      </x:bottom>
    </x:border>
    <x:border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top style="thin">
        <x:color auto="1"/>
      </x:top>
      <x:bottom style="medium">
        <x:color auto="1"/>
      </x:bottom>
    </x:border>
    <x:border>
      <x:bottom style="thin">
        <x:color auto="1"/>
      </x:bottom>
    </x:border>
    <x:border>
      <x:right style="medium">
        <x:color auto="1"/>
      </x:right>
      <x:bottom style="thin">
        <x:color auto="1"/>
      </x:bottom>
    </x:border>
    <x:border>
      <x:left style="medium">
        <x:color auto="1"/>
      </x:left>
      <x:top style="medium">
        <x:color auto="1"/>
      </x:top>
      <x:bottom style="dotted">
        <x:color auto="1"/>
      </x:bottom>
    </x:border>
    <x:border>
      <x:left style="medium">
        <x:color auto="1"/>
      </x:left>
      <x:top style="dotted">
        <x:color auto="1"/>
      </x:top>
      <x:bottom style="dotted">
        <x:color auto="1"/>
      </x:bottom>
    </x:border>
    <x:border>
      <x:left style="thick">
        <x:color auto="1"/>
      </x:left>
      <x:right style="medium">
        <x:color auto="1"/>
      </x:right>
      <x:top style="medium">
        <x:color auto="1"/>
      </x:top>
    </x:border>
    <x:border>
      <x:left style="medium">
        <x:color auto="1"/>
      </x:left>
      <x:right style="thin">
        <x:color auto="1"/>
      </x:right>
      <x:top style="medium">
        <x:color auto="1"/>
      </x:top>
    </x:border>
    <x:border>
      <x:left style="thin">
        <x:color auto="1"/>
      </x:left>
      <x:right style="thin">
        <x:color auto="1"/>
      </x:right>
      <x:top style="medium">
        <x:color auto="1"/>
      </x:top>
    </x:border>
    <x:border>
      <x:left style="thin">
        <x:color auto="1"/>
      </x:left>
      <x:right style="medium">
        <x:color auto="1"/>
      </x:right>
      <x:top style="medium">
        <x:color auto="1"/>
      </x:top>
    </x:border>
    <x:border>
      <x:left style="thick">
        <x:color auto="1"/>
      </x:left>
      <x:right style="medium">
        <x:color auto="1"/>
      </x:right>
      <x:top style="dotted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dotted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dotted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dotted">
        <x:color auto="1"/>
      </x:top>
      <x:bottom style="thin">
        <x:color auto="1"/>
      </x:bottom>
    </x:border>
    <x:border>
      <x:left style="medium">
        <x:color auto="1"/>
      </x:left>
      <x:top style="dotted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dotted">
        <x:color auto="1"/>
      </x:top>
      <x:bottom style="thin">
        <x:color auto="1"/>
      </x:bottom>
    </x:border>
    <x:border>
      <x:right style="thick">
        <x:color auto="1"/>
      </x:right>
      <x:top style="dotted">
        <x:color auto="1"/>
      </x:top>
      <x:bottom style="thin">
        <x:color auto="1"/>
      </x:bottom>
    </x:border>
    <x:border>
      <x:left style="thick">
        <x:color auto="1"/>
      </x:left>
      <x:right style="medium">
        <x:color auto="1"/>
      </x:right>
      <x:top style="thin">
        <x:color auto="1"/>
      </x:top>
      <x:bottom style="dotted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dotted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tted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dotted">
        <x:color auto="1"/>
      </x:bottom>
    </x:border>
    <x:border>
      <x:left style="medium">
        <x:color auto="1"/>
      </x:left>
      <x:top style="thin">
        <x:color auto="1"/>
      </x:top>
      <x:bottom style="dotted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dotted">
        <x:color auto="1"/>
      </x:bottom>
    </x:border>
    <x:border>
      <x:right style="thick">
        <x:color auto="1"/>
      </x:right>
      <x:top style="thin">
        <x:color auto="1"/>
      </x:top>
      <x:bottom style="dotted">
        <x:color auto="1"/>
      </x:bottom>
    </x:border>
    <x:border>
      <x:left style="medium">
        <x:color auto="1"/>
      </x:left>
      <x:right style="thin">
        <x:color auto="1"/>
      </x:right>
      <x:top style="dotted">
        <x:color auto="1"/>
      </x:top>
    </x:border>
    <x:border>
      <x:left style="thin">
        <x:color auto="1"/>
      </x:left>
      <x:right style="thin">
        <x:color auto="1"/>
      </x:right>
      <x:top style="dotted">
        <x:color auto="1"/>
      </x:top>
    </x:border>
    <x:border>
      <x:left style="medium">
        <x:color auto="1"/>
      </x:left>
      <x:right style="medium">
        <x:color auto="1"/>
      </x:right>
      <x:top style="dotted">
        <x:color auto="1"/>
      </x:top>
    </x:border>
    <x:border>
      <x:left style="medium">
        <x:color auto="1"/>
      </x:left>
      <x:right style="medium">
        <x:color auto="1"/>
      </x:right>
      <x:bottom style="dotted">
        <x:color auto="1"/>
      </x:bottom>
    </x:border>
    <x:border>
      <x:right style="medium">
        <x:color indexed="64"/>
      </x:right>
      <x:bottom style="medium">
        <x:color auto="1"/>
      </x:bottom>
    </x:border>
    <x:border>
      <x:left style="thin">
        <x:color auto="1"/>
      </x:left>
      <x:top style="medium">
        <x:color auto="1"/>
      </x:top>
      <x:bottom style="dotted">
        <x:color auto="1"/>
      </x:bottom>
    </x:border>
    <x:border>
      <x:top style="medium">
        <x:color auto="1"/>
      </x:top>
      <x:bottom style="dotted">
        <x:color auto="1"/>
      </x:bottom>
    </x:border>
    <x:border>
      <x:left style="thin">
        <x:color auto="1"/>
      </x:left>
      <x:top style="dotted">
        <x:color auto="1"/>
      </x:top>
      <x:bottom style="dotted">
        <x:color auto="1"/>
      </x:bottom>
    </x:border>
    <x:border>
      <x:top style="dotted">
        <x:color auto="1"/>
      </x:top>
      <x:bottom style="dotted">
        <x:color auto="1"/>
      </x:bottom>
    </x:border>
    <x:border>
      <x:left style="thin">
        <x:color auto="1"/>
      </x:left>
      <x:top style="dotted">
        <x:color auto="1"/>
      </x:top>
      <x:bottom style="thin">
        <x:color auto="1"/>
      </x:bottom>
    </x:border>
    <x:border>
      <x:top style="dotted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dotted">
        <x:color auto="1"/>
      </x:bottom>
    </x:border>
    <x:border>
      <x:top style="thin">
        <x:color auto="1"/>
      </x:top>
      <x:bottom style="dotted">
        <x:color auto="1"/>
      </x:bottom>
    </x:border>
    <x:border>
      <x:left style="thin">
        <x:color auto="1"/>
      </x:left>
      <x:top style="dotted">
        <x:color auto="1"/>
      </x:top>
    </x:border>
    <x:border>
      <x:top style="dotted">
        <x:color auto="1"/>
      </x:top>
    </x:border>
    <x:border>
      <x:right style="thick">
        <x:color auto="1"/>
      </x:right>
      <x:top style="dotted">
        <x:color auto="1"/>
      </x:top>
    </x:border>
    <x:border>
      <x:left style="medium">
        <x:color indexed="64"/>
      </x:left>
      <x:right style="medium">
        <x:color indexed="64"/>
      </x:right>
      <x:top style="dotted">
        <x:color auto="1"/>
      </x:top>
      <x:bottom style="medium">
        <x:color indexed="64"/>
      </x:bottom>
    </x:border>
    <x:border>
      <x:left style="thick">
        <x:color auto="1"/>
      </x:lef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ck">
        <x:color indexed="64"/>
      </x:left>
      <x:top style="thick">
        <x:color indexed="64"/>
      </x:top>
      <x:bottom style="thick">
        <x:color indexed="64"/>
      </x:bottom>
    </x:border>
    <x:border>
      <x:top style="thick">
        <x:color indexed="64"/>
      </x:top>
      <x:bottom style="thick">
        <x:color indexed="64"/>
      </x:bottom>
    </x:border>
    <x:border>
      <x:right style="thick">
        <x:color indexed="64"/>
      </x:right>
      <x:top style="thick">
        <x:color indexed="64"/>
      </x:top>
      <x:bottom style="thick">
        <x:color indexed="64"/>
      </x:bottom>
    </x:border>
    <x:border>
      <x:left style="medium">
        <x:color auto="1"/>
      </x:left>
      <x:top style="thick">
        <x:color indexed="64"/>
      </x:top>
    </x:border>
    <x:border>
      <x:right style="thick">
        <x:color indexed="64"/>
      </x:right>
      <x:top style="thick">
        <x:color indexed="64"/>
      </x:top>
    </x:border>
    <x:border/>
    <x:border>
      <x:left style="medium">
        <x:color auto="1"/>
      </x:left>
      <x:right style="thick">
        <x:color auto="1"/>
      </x:right>
      <x:top style="medium">
        <x:color auto="1"/>
      </x:top>
      <x:bottom style="medium">
        <x:color auto="1"/>
      </x:bottom>
    </x:border>
    <x:border>
      <x:left style="thick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ck">
        <x:color auto="1"/>
      </x:left>
      <x:right style="medium">
        <x:color auto="1"/>
      </x:right>
      <x:top style="medium">
        <x:color auto="1"/>
      </x:top>
      <x:bottom style="thick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ck">
        <x:color auto="1"/>
      </x:bottom>
    </x:border>
    <x:border>
      <x:left style="medium">
        <x:color auto="1"/>
      </x:left>
      <x:right style="thick">
        <x:color auto="1"/>
      </x:right>
      <x:top style="medium">
        <x:color auto="1"/>
      </x:top>
      <x:bottom style="thick">
        <x:color auto="1"/>
      </x:bottom>
    </x:border>
    <x:border>
      <x:left style="medium">
        <x:color auto="1"/>
      </x:left>
      <x:right style="medium">
        <x:color auto="1"/>
      </x:right>
      <x:top style="thick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top style="medium">
        <x:color auto="1"/>
      </x:top>
      <x:bottom style="medium">
        <x:color auto="1"/>
      </x:bottom>
    </x:border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bottom style="thin">
        <x:color auto="1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</x:border>
    <x:border>
      <x:top style="thick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thick">
        <x:color auto="1"/>
      </x:top>
      <x:bottom style="medium">
        <x:color auto="1"/>
      </x:bottom>
    </x:border>
    <x:border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top style="thin">
        <x:color auto="1"/>
      </x:top>
      <x:bottom style="medium">
        <x:color auto="1"/>
      </x:bottom>
    </x:border>
    <x:border>
      <x:top style="medium">
        <x:color auto="1"/>
      </x:top>
    </x:border>
    <x:border>
      <x:left style="medium">
        <x:color auto="1"/>
      </x:left>
      <x:right style="medium">
        <x:color auto="1"/>
      </x:right>
      <x:top style="medium">
        <x:color auto="1"/>
      </x:top>
    </x:border>
    <x:border>
      <x:top style="thick">
        <x:color auto="1"/>
      </x:top>
      <x:bottom style="thin">
        <x:color auto="1"/>
      </x:bottom>
    </x:border>
    <x:border>
      <x:left style="medium">
        <x:color auto="1"/>
      </x:left>
      <x:right style="thick">
        <x:color auto="1"/>
      </x:right>
      <x:top style="thick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ck">
        <x:color auto="1"/>
      </x:left>
      <x:right style="medium">
        <x:color auto="1"/>
      </x:right>
      <x:top style="medium">
        <x:color auto="1"/>
      </x:top>
      <x:bottom style="dotted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dotted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dotted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dotted">
        <x:color auto="1"/>
      </x:bottom>
    </x:border>
    <x:border>
      <x:left style="medium">
        <x:color auto="1"/>
      </x:left>
      <x:top style="medium">
        <x:color auto="1"/>
      </x:top>
      <x:bottom style="dotted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dotted">
        <x:color auto="1"/>
      </x:bottom>
    </x:border>
    <x:border>
      <x:left style="thin">
        <x:color auto="1"/>
      </x:left>
      <x:top style="medium">
        <x:color auto="1"/>
      </x:top>
      <x:bottom style="dotted">
        <x:color auto="1"/>
      </x:bottom>
    </x:border>
    <x:border>
      <x:left style="thick">
        <x:color auto="1"/>
      </x:left>
      <x:right style="medium">
        <x:color auto="1"/>
      </x:right>
      <x:top style="dotted">
        <x:color auto="1"/>
      </x:top>
      <x:bottom style="dotted">
        <x:color auto="1"/>
      </x:bottom>
    </x:border>
    <x:border>
      <x:left style="medium">
        <x:color auto="1"/>
      </x:left>
      <x:right style="thin">
        <x:color auto="1"/>
      </x:right>
      <x:top style="dotted">
        <x:color auto="1"/>
      </x:top>
      <x:bottom style="dotted">
        <x:color auto="1"/>
      </x:bottom>
    </x:border>
    <x:border>
      <x:left style="thin">
        <x:color auto="1"/>
      </x:left>
      <x:right style="thin">
        <x:color auto="1"/>
      </x:right>
      <x:top style="dotted">
        <x:color auto="1"/>
      </x:top>
      <x:bottom style="dotted">
        <x:color auto="1"/>
      </x:bottom>
    </x:border>
    <x:border>
      <x:left style="thin">
        <x:color auto="1"/>
      </x:left>
      <x:right style="medium">
        <x:color auto="1"/>
      </x:right>
      <x:top style="dotted">
        <x:color auto="1"/>
      </x:top>
      <x:bottom style="dotted">
        <x:color auto="1"/>
      </x:bottom>
    </x:border>
    <x:border>
      <x:left style="medium">
        <x:color auto="1"/>
      </x:left>
      <x:top style="dotted">
        <x:color auto="1"/>
      </x:top>
      <x:bottom style="dotted">
        <x:color auto="1"/>
      </x:bottom>
    </x:border>
    <x:border>
      <x:left style="medium">
        <x:color auto="1"/>
      </x:left>
      <x:right style="medium">
        <x:color auto="1"/>
      </x:right>
      <x:top style="dotted">
        <x:color auto="1"/>
      </x:top>
      <x:bottom style="dotted">
        <x:color auto="1"/>
      </x:bottom>
    </x:border>
    <x:border>
      <x:left style="thin">
        <x:color auto="1"/>
      </x:left>
      <x:top style="dotted">
        <x:color auto="1"/>
      </x:top>
      <x:bottom style="dotted">
        <x:color auto="1"/>
      </x:bottom>
    </x:border>
    <x:border>
      <x:left style="thick">
        <x:color auto="1"/>
      </x:left>
      <x:right style="medium">
        <x:color auto="1"/>
      </x:right>
      <x:top style="dotted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dotted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dotted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dotted">
        <x:color auto="1"/>
      </x:top>
      <x:bottom style="thin">
        <x:color auto="1"/>
      </x:bottom>
    </x:border>
    <x:border>
      <x:left style="medium">
        <x:color auto="1"/>
      </x:left>
      <x:top style="dotted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dotted">
        <x:color auto="1"/>
      </x:top>
    </x:border>
    <x:border>
      <x:left style="medium">
        <x:color auto="1"/>
      </x:left>
      <x:right style="medium">
        <x:color auto="1"/>
      </x:right>
      <x:top style="dotted">
        <x:color auto="1"/>
      </x:top>
      <x:bottom style="thin">
        <x:color auto="1"/>
      </x:bottom>
    </x:border>
    <x:border>
      <x:left style="thin">
        <x:color auto="1"/>
      </x:left>
      <x:top style="dotted">
        <x:color auto="1"/>
      </x:top>
      <x:bottom style="thin">
        <x:color auto="1"/>
      </x:bottom>
    </x:border>
    <x:border>
      <x:left style="thick">
        <x:color auto="1"/>
      </x:left>
      <x:right style="medium">
        <x:color auto="1"/>
      </x:right>
      <x:top style="thin">
        <x:color auto="1"/>
      </x:top>
      <x:bottom style="dotted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dotted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tted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dotted">
        <x:color auto="1"/>
      </x:bottom>
    </x:border>
    <x:border>
      <x:left style="medium">
        <x:color auto="1"/>
      </x:left>
      <x:top style="thin">
        <x:color auto="1"/>
      </x:top>
      <x:bottom style="dotted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dotted">
        <x:color auto="1"/>
      </x:bottom>
    </x:border>
    <x:border>
      <x:left style="thin">
        <x:color auto="1"/>
      </x:left>
      <x:top style="thin">
        <x:color auto="1"/>
      </x:top>
      <x:bottom style="dotted">
        <x:color auto="1"/>
      </x:bottom>
    </x:border>
    <x:border>
      <x:left style="medium">
        <x:color auto="1"/>
      </x:left>
      <x:right style="thin">
        <x:color auto="1"/>
      </x:right>
      <x:top style="dotted">
        <x:color auto="1"/>
      </x:top>
    </x:border>
    <x:border>
      <x:left style="thin">
        <x:color auto="1"/>
      </x:left>
      <x:right style="thin">
        <x:color auto="1"/>
      </x:right>
      <x:top style="dotted">
        <x:color auto="1"/>
      </x:top>
    </x:border>
    <x:border>
      <x:left style="medium">
        <x:color auto="1"/>
      </x:left>
      <x:right style="medium">
        <x:color auto="1"/>
      </x:right>
      <x:bottom style="dotted">
        <x:color auto="1"/>
      </x:bottom>
    </x:border>
    <x:border>
      <x:left style="thin">
        <x:color auto="1"/>
      </x:left>
      <x:top style="dotted">
        <x:color auto="1"/>
      </x:top>
    </x:border>
    <x:border>
      <x:right style="medium">
        <x:color auto="1"/>
      </x:right>
      <x:top style="thick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bottom style="medium">
        <x:color auto="1"/>
      </x:bottom>
    </x:border>
    <x:border>
      <x:top style="medium">
        <x:color auto="1"/>
      </x:top>
      <x:bottom style="thick">
        <x:color auto="1"/>
      </x:bottom>
    </x:border>
    <x:border>
      <x:right style="medium">
        <x:color auto="1"/>
      </x:right>
      <x:top style="medium">
        <x:color auto="1"/>
      </x:top>
      <x:bottom style="thick">
        <x:color auto="1"/>
      </x:bottom>
    </x:border>
    <x:border>
      <x:left style="medium">
        <x:color auto="1"/>
      </x:left>
    </x:border>
    <x:border>
      <x:left style="medium">
        <x:color indexed="64"/>
      </x:left>
      <x:right style="medium">
        <x:color indexed="64"/>
      </x:right>
      <x:top style="dotted">
        <x:color auto="1"/>
      </x:top>
      <x:bottom style="medium">
        <x:color indexed="64"/>
      </x:bottom>
    </x:border>
    <x:border>
      <x:left style="medium">
        <x:color auto="1"/>
      </x:left>
      <x:top style="medium">
        <x:color auto="1"/>
      </x:top>
      <x:bottom style="thick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ck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ck">
        <x:color auto="1"/>
      </x:bottom>
    </x:border>
    <x:border>
      <x:bottom style="thin">
        <x:color auto="1"/>
      </x:bottom>
    </x:border>
    <x:border>
      <x:left style="thick">
        <x:color auto="1"/>
      </x:left>
      <x:right style="medium">
        <x:color auto="1"/>
      </x:right>
      <x:top style="thick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ck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ck">
        <x:color auto="1"/>
      </x:top>
      <x:bottom style="medium">
        <x:color auto="1"/>
      </x:bottom>
    </x:border>
    <x:border>
      <x:left style="thin">
        <x:color auto="1"/>
      </x:left>
      <x:top style="thick">
        <x:color auto="1"/>
      </x:top>
      <x:bottom style="medium">
        <x:color auto="1"/>
      </x:bottom>
    </x:border>
    <x:border>
      <x:left style="medium">
        <x:color auto="1"/>
      </x:left>
      <x:top style="thick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ck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</x:border>
    <x:border>
      <x:left style="thin">
        <x:color auto="1"/>
      </x:left>
      <x:right style="thin">
        <x:color auto="1"/>
      </x:right>
      <x:bottom style="medium">
        <x:color auto="1"/>
      </x:bottom>
    </x:border>
    <x:border>
      <x:top style="dotted">
        <x:color auto="1"/>
      </x:top>
      <x:bottom style="thin">
        <x:color auto="1"/>
      </x:bottom>
    </x:border>
    <x:border>
      <x:right style="thick">
        <x:color auto="1"/>
      </x:right>
      <x:top style="dotted">
        <x:color auto="1"/>
      </x:top>
      <x:bottom style="thin">
        <x:color auto="1"/>
      </x:bottom>
    </x:border>
    <x:border>
      <x:top style="thin">
        <x:color auto="1"/>
      </x:top>
      <x:bottom style="dotted">
        <x:color auto="1"/>
      </x:bottom>
    </x:border>
    <x:border>
      <x:right style="thick">
        <x:color auto="1"/>
      </x:right>
      <x:top style="thin">
        <x:color auto="1"/>
      </x:top>
      <x:bottom style="dotted">
        <x:color auto="1"/>
      </x:bottom>
    </x:border>
    <x:border>
      <x:top style="dotted">
        <x:color auto="1"/>
      </x:top>
      <x:bottom style="dotted">
        <x:color auto="1"/>
      </x:bottom>
    </x:border>
    <x:border>
      <x:right style="thick">
        <x:color auto="1"/>
      </x:right>
      <x:top style="dotted">
        <x:color auto="1"/>
      </x:top>
      <x:bottom style="dotted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</x:border>
    <x:border>
      <x:left style="thin">
        <x:color auto="1"/>
      </x:left>
      <x:right style="medium">
        <x:color auto="1"/>
      </x:right>
      <x:bottom style="medium">
        <x:color auto="1"/>
      </x:bottom>
    </x:border>
    <x:border>
      <x:top style="dotted">
        <x:color auto="1"/>
      </x:top>
    </x:border>
    <x:border>
      <x:right style="thick">
        <x:color auto="1"/>
      </x:right>
      <x:top style="dotted">
        <x:color auto="1"/>
      </x:top>
    </x:border>
    <x:border>
      <x:right style="thick">
        <x:color auto="1"/>
      </x:right>
    </x:border>
    <x:border>
      <x:left style="medium">
        <x:color auto="1"/>
      </x:left>
      <x:top style="medium">
        <x:color auto="1"/>
      </x:top>
    </x:border>
    <x:border>
      <x:left style="medium">
        <x:color auto="1"/>
      </x:left>
      <x:bottom style="medium">
        <x:color auto="1"/>
      </x:bottom>
    </x:border>
    <x:border>
      <x:bottom style="medium">
        <x:color auto="1"/>
      </x:bottom>
    </x:border>
    <x:border>
      <x:right style="thick">
        <x:color auto="1"/>
      </x:right>
      <x:top style="medium">
        <x:color auto="1"/>
      </x:top>
      <x:bottom style="medium">
        <x:color auto="1"/>
      </x:bottom>
    </x:border>
    <x:border>
      <x:right style="thick">
        <x:color auto="1"/>
      </x:right>
      <x:top style="medium">
        <x:color auto="1"/>
      </x:top>
    </x:border>
    <x:border>
      <x:right style="thick">
        <x:color auto="1"/>
      </x:right>
      <x:bottom style="medium">
        <x:color auto="1"/>
      </x:bottom>
    </x:border>
    <x:border>
      <x:top style="medium">
        <x:color auto="1"/>
      </x:top>
      <x:bottom style="dotted">
        <x:color auto="1"/>
      </x:bottom>
    </x:border>
    <x:border>
      <x:right style="thick">
        <x:color auto="1"/>
      </x:right>
      <x:top style="medium">
        <x:color auto="1"/>
      </x:top>
      <x:bottom style="dotted">
        <x:color auto="1"/>
      </x:bottom>
    </x:border>
    <x:border>
      <x:left style="thick">
        <x:color auto="1"/>
      </x:left>
      <x:right style="medium">
        <x:color auto="1"/>
      </x:right>
      <x:top style="medium">
        <x:color auto="1"/>
      </x:top>
    </x:border>
    <x:border>
      <x:left style="thick">
        <x:color auto="1"/>
      </x:left>
      <x:right style="medium">
        <x:color auto="1"/>
      </x:right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</x:border>
    <x:border>
      <x:left style="medium">
        <x:color auto="1"/>
      </x:left>
      <x:right style="thin">
        <x:color auto="1"/>
      </x:right>
      <x:bottom style="medium">
        <x:color auto="1"/>
      </x:bottom>
    </x:border>
    <x:border>
      <x:right style="thick">
        <x:color auto="1"/>
      </x:right>
      <x:top style="medium">
        <x:color auto="1"/>
      </x:top>
      <x:bottom style="thick">
        <x:color auto="1"/>
      </x:bottom>
    </x:border>
    <x:border>
      <x:left style="thick">
        <x:color auto="1"/>
      </x:left>
      <x:top style="medium">
        <x:color auto="1"/>
      </x:top>
      <x:bottom style="medium">
        <x:color auto="1"/>
      </x:bottom>
    </x:border>
    <x:border>
      <x:right style="medium">
        <x:color indexed="64"/>
      </x:right>
      <x:bottom style="medium">
        <x:color auto="1"/>
      </x:bottom>
    </x:border>
    <x:border>
      <x:left style="thick">
        <x:color indexed="64"/>
      </x:left>
      <x:top style="thick">
        <x:color indexed="64"/>
      </x:top>
      <x:bottom style="thick">
        <x:color indexed="64"/>
      </x:bottom>
    </x:border>
    <x:border>
      <x:top style="thick">
        <x:color indexed="64"/>
      </x:top>
      <x:bottom style="thick">
        <x:color indexed="64"/>
      </x:bottom>
    </x:border>
    <x:border>
      <x:right style="thick">
        <x:color indexed="64"/>
      </x:right>
      <x:top style="thick">
        <x:color indexed="64"/>
      </x:top>
      <x:bottom style="thick">
        <x:color indexed="64"/>
      </x:bottom>
    </x:border>
    <x:border>
      <x:left style="medium">
        <x:color auto="1"/>
      </x:left>
      <x:top style="thick">
        <x:color indexed="64"/>
      </x:top>
    </x:border>
    <x:border>
      <x:top style="thick">
        <x:color auto="1"/>
      </x:top>
    </x:border>
    <x:border>
      <x:right style="thick">
        <x:color indexed="64"/>
      </x:right>
      <x:top style="thick">
        <x:color indexed="64"/>
      </x:top>
    </x:border>
    <x:border>
      <x:left style="thick">
        <x:color auto="1"/>
      </x:left>
      <x:top style="medium">
        <x:color auto="1"/>
      </x:top>
      <x:bottom style="thick">
        <x:color auto="1"/>
      </x:bottom>
    </x:border>
    <x:border>
      <x:left style="thick">
        <x:color auto="1"/>
      </x:lef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right style="medium">
        <x:color auto="1"/>
      </x:right>
      <x:bottom style="thin">
        <x:color auto="1"/>
      </x:bottom>
    </x:border>
    <x:border>
      <x:left style="thick">
        <x:color auto="1"/>
      </x:left>
      <x:top style="thin">
        <x:color auto="1"/>
      </x:top>
      <x:bottom style="medium">
        <x:color auto="1"/>
      </x:bottom>
    </x:border>
    <x:border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top style="thin">
        <x:color auto="1"/>
      </x:top>
      <x:bottom style="medium">
        <x:color auto="1"/>
      </x:bottom>
    </x:border>
    <x:border>
      <x:left style="thick">
        <x:color auto="1"/>
      </x:left>
      <x:top style="thick">
        <x:color auto="1"/>
      </x:top>
      <x:bottom style="medium">
        <x:color auto="1"/>
      </x:bottom>
    </x:border>
    <x:border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ck">
        <x:color auto="1"/>
      </x:left>
      <x:right style="medium">
        <x:color auto="1"/>
      </x:right>
      <x:top style="thick">
        <x:color auto="1"/>
      </x:top>
    </x:border>
    <x:border>
      <x:left style="thick">
        <x:color auto="1"/>
      </x:left>
      <x:right style="medium">
        <x:color auto="1"/>
      </x:right>
    </x:border>
    <x:border>
      <x:left style="thick">
        <x:color auto="1"/>
      </x:left>
      <x:right style="medium">
        <x:color auto="1"/>
      </x:right>
      <x:bottom style="thick">
        <x:color auto="1"/>
      </x:bottom>
    </x:border>
    <x:border>
      <x:left style="medium">
        <x:color auto="1"/>
      </x:left>
      <x:right style="medium">
        <x:color auto="1"/>
      </x:right>
      <x:bottom style="thick">
        <x:color auto="1"/>
      </x:bottom>
    </x:border>
    <x:border>
      <x:left style="medium">
        <x:color auto="1"/>
      </x:left>
      <x:top style="medium">
        <x:color auto="1"/>
      </x:top>
      <x:bottom style="thin">
        <x:color auto="1"/>
      </x:bottom>
    </x:border>
    <x:border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top style="thin">
        <x:color auto="1"/>
      </x:top>
      <x:bottom style="thick">
        <x:color auto="1"/>
      </x:bottom>
    </x:border>
    <x:border>
      <x:right style="medium">
        <x:color auto="1"/>
      </x:right>
      <x:top style="thin">
        <x:color auto="1"/>
      </x:top>
      <x:bottom style="thick">
        <x:color auto="1"/>
      </x:bottom>
    </x:border>
    <x:border>
      <x:left style="medium">
        <x:color auto="1"/>
      </x:left>
      <x:top style="thin">
        <x:color auto="1"/>
      </x:top>
      <x:bottom style="medium">
        <x:color auto="1"/>
      </x:bottom>
    </x:border>
    <x:border>
      <x:left style="medium">
        <x:color auto="1"/>
      </x:left>
      <x:top style="thin">
        <x:color auto="1"/>
      </x:top>
    </x:border>
    <x:border>
      <x:right style="thick">
        <x:color auto="1"/>
      </x:right>
      <x:top style="thin">
        <x:color auto="1"/>
      </x:top>
    </x:border>
    <x:border>
      <x:left style="medium">
        <x:color auto="1"/>
      </x:left>
      <x:top style="thick">
        <x:color auto="1"/>
      </x:top>
      <x:bottom style="thin">
        <x:color auto="1"/>
      </x:bottom>
    </x:border>
    <x:border>
      <x:right style="medium">
        <x:color auto="1"/>
      </x:right>
      <x:top style="thick">
        <x:color auto="1"/>
      </x:top>
      <x:bottom style="thin">
        <x:color auto="1"/>
      </x:bottom>
    </x:border>
    <x:border diagonalUp="1" diagonalDown="1">
      <x:left style="medium">
        <x:color auto="1"/>
      </x:left>
      <x:right style="medium">
        <x:color auto="1"/>
      </x:right>
      <x:top style="medium">
        <x:color auto="1"/>
      </x:top>
      <x:diagonal style="thin">
        <x:color auto="1"/>
      </x:diagonal>
    </x:border>
    <x:border diagonalUp="1" diagonalDown="1">
      <x:left style="medium">
        <x:color auto="1"/>
      </x:left>
      <x:right style="medium">
        <x:color auto="1"/>
      </x:right>
      <x:diagonal style="thin">
        <x:color auto="1"/>
      </x:diagonal>
    </x:border>
    <x:border diagonalUp="1" diagonalDown="1">
      <x:left style="medium">
        <x:color auto="1"/>
      </x:left>
      <x:right style="medium">
        <x:color auto="1"/>
      </x:right>
      <x:bottom style="medium">
        <x:color auto="1"/>
      </x:bottom>
      <x:diagonal style="thin">
        <x:color auto="1"/>
      </x:diagonal>
    </x:border>
    <x:border>
      <x:right style="thick">
        <x:color auto="1"/>
      </x:right>
      <x:top style="medium">
        <x:color auto="1"/>
      </x:top>
      <x:bottom style="thin">
        <x:color auto="1"/>
      </x:bottom>
    </x:border>
    <x:border>
      <x:left style="thick">
        <x:color auto="1"/>
      </x:left>
      <x:top style="medium">
        <x:color auto="1"/>
      </x:top>
      <x:bottom style="thin">
        <x:color auto="1"/>
      </x:bottom>
    </x:border>
    <x:border>
      <x:left style="thick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top style="thin">
        <x:color auto="1"/>
      </x:top>
      <x:bottom style="thin">
        <x:color auto="1"/>
      </x:bottom>
    </x:border>
    <x:border>
      <x:right style="thick">
        <x:color auto="1"/>
      </x:right>
      <x:top style="thin">
        <x:color auto="1"/>
      </x:top>
      <x:bottom style="thin">
        <x:color auto="1"/>
      </x:bottom>
    </x:border>
    <x:border>
      <x:right style="thick">
        <x:color auto="1"/>
      </x:right>
      <x:top style="thin">
        <x:color auto="1"/>
      </x:top>
      <x:bottom style="medium">
        <x:color auto="1"/>
      </x:bottom>
    </x:border>
    <x:border>
      <x:right style="thick">
        <x:color auto="1"/>
      </x:right>
      <x:top style="thick">
        <x:color auto="1"/>
      </x:top>
      <x:bottom style="medium">
        <x:color auto="1"/>
      </x:bottom>
    </x:border>
  </x:borders>
  <x:cellStyleXfs count="7">
    <x:xf numFmtId="0" fontId="0" fillId="0" borderId="0"/>
    <x:xf numFmtId="0" fontId="5" fillId="0" borderId="0"/>
    <x:xf numFmtId="0" fontId="21" fillId="0" borderId="0" applyNumberFormat="0" applyFill="0" applyBorder="0" applyAlignment="0" applyProtection="0"/>
    <x:xf numFmtId="0" fontId="22" fillId="0" borderId="0" applyNumberFormat="0" applyFill="0" applyBorder="0" applyAlignment="0" applyProtection="0"/>
    <x:xf numFmtId="0" fontId="21" fillId="0" borderId="0" applyNumberFormat="0" applyFill="0" applyBorder="0" applyAlignment="0" applyProtection="0"/>
    <x:xf numFmtId="0" fontId="22" fillId="0" borderId="0" applyNumberFormat="0" applyFill="0" applyBorder="0" applyAlignment="0" applyProtection="0"/>
    <x:xf numFmtId="0" fontId="1" fillId="0" borderId="0"/>
  </x:cellStyleXfs>
  <x:cellXfs count="985">
    <x:xf numFmtId="0" fontId="0" fillId="0" borderId="0" xfId="0"/>
    <x:xf numFmtId="1" fontId="7" fillId="0" borderId="27" xfId="0" applyNumberFormat="1" applyFont="1" applyBorder="1" applyAlignment="1">
      <x:alignment horizontal="center" vertical="center"/>
    </x:xf>
    <x:xf numFmtId="0" fontId="0" fillId="2" borderId="0" xfId="0" applyFill="1"/>
    <x:xf numFmtId="0" fontId="7" fillId="0" borderId="12" xfId="0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7" xfId="0" applyFont="1" applyBorder="1" applyAlignment="1">
      <x:alignment horizontal="center" vertical="center"/>
    </x:xf>
    <x:xf numFmtId="0" fontId="0" fillId="0" borderId="47" xfId="0" applyBorder="1" applyAlignment="1">
      <x:alignment horizontal="center" vertical="center"/>
    </x:xf>
    <x:xf numFmtId="0" fontId="7" fillId="0" borderId="35" xfId="0" applyFont="1" applyBorder="1" applyAlignment="1">
      <x:alignment horizontal="center" vertical="center"/>
    </x:xf>
    <x:xf numFmtId="0" fontId="15" fillId="0" borderId="35" xfId="0" applyFont="1" applyBorder="1" applyAlignment="1">
      <x:alignment horizontal="center" vertical="center" wrapText="1"/>
    </x:xf>
    <x:xf numFmtId="0" fontId="7" fillId="0" borderId="33" xfId="0" applyFont="1" applyBorder="1" applyAlignment="1">
      <x:alignment horizontal="center" vertical="center" wrapText="1"/>
    </x:xf>
    <x:xf numFmtId="0" fontId="0" fillId="0" borderId="48" xfId="0" applyBorder="1" applyAlignment="1">
      <x:alignment horizontal="center" vertical="center"/>
    </x:xf>
    <x:xf numFmtId="0" fontId="0" fillId="0" borderId="21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1" fillId="2" borderId="9" xfId="0" applyFont="1" applyFill="1" applyBorder="1" applyAlignment="1">
      <x:alignment horizontal="left" vertical="center" wrapText="1"/>
    </x:xf>
    <x:xf numFmtId="0" fontId="16" fillId="0" borderId="6" xfId="0" applyFont="1" applyBorder="1" applyAlignment="1">
      <x:alignment horizontal="left" vertical="center" wrapText="1"/>
    </x:xf>
    <x:xf numFmtId="0" fontId="0" fillId="0" borderId="51" xfId="0" applyBorder="1" applyAlignment="1">
      <x:alignment horizontal="center" vertical="center"/>
    </x:xf>
    <x:xf numFmtId="0" fontId="1" fillId="2" borderId="34" xfId="0" applyFont="1" applyFill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0" fontId="1" fillId="2" borderId="9" xfId="0" applyFont="1" applyFill="1" applyBorder="1" applyAlignment="1">
      <x:alignment horizontal="left" vertical="center"/>
    </x:xf>
    <x:xf numFmtId="0" fontId="1" fillId="0" borderId="9" xfId="0" applyFont="1" applyBorder="1" applyAlignment="1">
      <x:alignment horizontal="left" vertical="center"/>
    </x:xf>
    <x:xf numFmtId="0" fontId="0" fillId="2" borderId="6" xfId="0" applyFill="1" applyBorder="1" applyAlignment="1">
      <x:alignment horizontal="left" vertical="center"/>
    </x:xf>
    <x:xf numFmtId="0" fontId="1" fillId="0" borderId="7" xfId="0" applyFont="1" applyBorder="1" applyAlignment="1">
      <x:alignment horizontal="center" vertical="center" wrapText="1"/>
    </x:xf>
    <x:xf numFmtId="0" fontId="16" fillId="2" borderId="6" xfId="0" applyFont="1" applyFill="1" applyBorder="1" applyAlignment="1">
      <x:alignment horizontal="center" vertical="center" wrapText="1"/>
    </x:xf>
    <x:xf numFmtId="0" fontId="1" fillId="0" borderId="60" xfId="0" applyFont="1" applyBorder="1" applyAlignment="1">
      <x:alignment horizontal="center" vertical="center"/>
    </x:xf>
    <x:xf numFmtId="0" fontId="0" fillId="2" borderId="60" xfId="0" applyFill="1" applyBorder="1" applyAlignment="1">
      <x:alignment horizontal="center" vertical="center"/>
    </x:xf>
    <x:xf numFmtId="0" fontId="0" fillId="0" borderId="41" xfId="0" applyBorder="1" applyAlignment="1">
      <x:alignment horizontal="center" vertical="center"/>
    </x:xf>
    <x:xf numFmtId="0" fontId="0" fillId="0" borderId="29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0" fillId="0" borderId="53" xfId="0" applyBorder="1" applyAlignment="1">
      <x:alignment horizontal="center" vertical="center"/>
    </x:xf>
    <x:xf numFmtId="0" fontId="4" fillId="0" borderId="65" xfId="0" applyFont="1" applyBorder="1" applyAlignment="1">
      <x:alignment horizontal="left" vertical="center" wrapText="1"/>
    </x:xf>
    <x:xf numFmtId="0" fontId="0" fillId="0" borderId="65" xfId="0" applyBorder="1" applyAlignment="1">
      <x:alignment horizontal="center" vertical="center"/>
    </x:xf>
    <x:xf numFmtId="0" fontId="0" fillId="0" borderId="45" xfId="0" applyBorder="1" applyAlignment="1">
      <x:alignment horizontal="center" vertical="center"/>
    </x:xf>
    <x:xf numFmtId="0" fontId="4" fillId="0" borderId="21" xfId="0" applyFont="1" applyBorder="1" applyAlignment="1">
      <x:alignment horizontal="left" vertical="center" wrapText="1"/>
    </x:xf>
    <x:xf numFmtId="0" fontId="1" fillId="0" borderId="4" xfId="0" applyFont="1" applyBorder="1" applyAlignment="1">
      <x:alignment horizontal="left" vertical="center"/>
    </x:xf>
    <x:xf numFmtId="0" fontId="3" fillId="0" borderId="4" xfId="0" applyFont="1" applyBorder="1" applyAlignment="1">
      <x:alignment horizontal="left" vertical="center" wrapText="1"/>
    </x:xf>
    <x:xf numFmtId="0" fontId="0" fillId="0" borderId="5" xfId="0" applyBorder="1" applyAlignment="1">
      <x:alignment horizontal="center" vertical="center"/>
    </x:xf>
    <x:xf numFmtId="0" fontId="1" fillId="0" borderId="67" xfId="0" applyFont="1" applyBorder="1" applyAlignment="1">
      <x:alignment horizontal="left" vertical="center" wrapText="1"/>
    </x:xf>
    <x:xf numFmtId="0" fontId="0" fillId="0" borderId="67" xfId="0" applyBorder="1" applyAlignment="1">
      <x:alignment horizontal="center" vertical="center"/>
    </x:xf>
    <x:xf numFmtId="0" fontId="1" fillId="0" borderId="4" xfId="0" applyFont="1" applyBorder="1" applyAlignment="1">
      <x:alignment horizontal="center" vertical="center"/>
    </x:xf>
    <x:xf numFmtId="14" fontId="8" fillId="2" borderId="41" xfId="0" applyNumberFormat="1" applyFont="1" applyFill="1" applyBorder="1" applyAlignment="1">
      <x:alignment horizontal="center" vertical="center"/>
    </x:xf>
    <x:xf numFmtId="1" fontId="7" fillId="0" borderId="4" xfId="0" applyNumberFormat="1" applyFont="1" applyBorder="1" applyAlignment="1">
      <x:alignment horizontal="center" vertical="center"/>
    </x:xf>
    <x:xf numFmtId="1" fontId="7" fillId="0" borderId="6" xfId="0" applyNumberFormat="1" applyFont="1" applyBorder="1" applyAlignment="1">
      <x:alignment horizontal="center" vertical="center"/>
    </x:xf>
    <x:xf numFmtId="1" fontId="7" fillId="0" borderId="49" xfId="0" applyNumberFormat="1" applyFont="1" applyBorder="1" applyAlignment="1">
      <x:alignment horizontal="center" vertical="center"/>
    </x:xf>
    <x:xf numFmtId="1" fontId="7" fillId="0" borderId="48" xfId="0" applyNumberFormat="1" applyFont="1" applyBorder="1" applyAlignment="1">
      <x:alignment horizontal="center" vertical="center"/>
    </x:xf>
    <x:xf numFmtId="1" fontId="7" fillId="0" borderId="50" xfId="0" applyNumberFormat="1" applyFont="1" applyBorder="1" applyAlignment="1">
      <x:alignment horizontal="center" vertical="center"/>
    </x:xf>
    <x:xf numFmtId="1" fontId="7" fillId="0" borderId="45" xfId="0" applyNumberFormat="1" applyFont="1" applyBorder="1" applyAlignment="1">
      <x:alignment horizontal="center" vertical="center"/>
    </x:xf>
    <x:xf numFmtId="1" fontId="7" fillId="0" borderId="21" xfId="0" applyNumberFormat="1" applyFont="1" applyBorder="1" applyAlignment="1">
      <x:alignment horizontal="center" vertical="center"/>
    </x:xf>
    <x:xf numFmtId="1" fontId="7" fillId="0" borderId="9" xfId="0" applyNumberFormat="1" applyFont="1" applyBorder="1" applyAlignment="1">
      <x:alignment horizontal="center" vertical="center"/>
    </x:xf>
    <x:xf numFmtId="1" fontId="7" fillId="0" borderId="27" xfId="0" applyNumberFormat="1" applyFont="1" applyBorder="1" applyAlignment="1">
      <x:alignment horizontal="right" vertical="center"/>
    </x:xf>
    <x:xf numFmtId="0" fontId="0" fillId="0" borderId="0" xfId="0"/>
    <x:xf numFmtId="0" fontId="6" fillId="0" borderId="1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 wrapText="1"/>
    </x:xf>
    <x:xf numFmtId="49" fontId="15" fillId="0" borderId="34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 wrapText="1"/>
    </x:xf>
    <x:xf numFmtId="49" fontId="27" fillId="0" borderId="4" xfId="0" applyNumberFormat="1" applyFont="1" applyBorder="1" applyAlignment="1">
      <x:alignment horizontal="center" vertical="center" wrapText="1"/>
    </x:xf>
    <x:xf numFmtId="0" fontId="6" fillId="0" borderId="15" xfId="0" applyFont="1" applyBorder="1" applyAlignment="1">
      <x:alignment horizontal="center" vertical="center"/>
    </x:xf>
    <x:xf numFmtId="167" fontId="20" fillId="0" borderId="20" xfId="0" applyNumberFormat="1" applyFont="1" applyBorder="1" applyAlignment="1">
      <x:alignment horizontal="center" vertical="center"/>
    </x:xf>
    <x:xf numFmtId="167" fontId="20" fillId="0" borderId="16" xfId="0" applyNumberFormat="1" applyFont="1" applyBorder="1" applyAlignment="1">
      <x:alignment horizontal="center" vertical="center"/>
    </x:xf>
    <x:xf numFmtId="166" fontId="20" fillId="0" borderId="16" xfId="0" applyNumberFormat="1" applyFont="1" applyBorder="1" applyAlignment="1">
      <x:alignment horizontal="center" vertical="center"/>
    </x:xf>
    <x:xf numFmtId="164" fontId="20" fillId="0" borderId="16" xfId="0" applyNumberFormat="1" applyFont="1" applyBorder="1" applyAlignment="1">
      <x:alignment horizontal="center" vertical="center"/>
    </x:xf>
    <x:xf numFmtId="1" fontId="20" fillId="0" borderId="24" xfId="0" applyNumberFormat="1" applyFont="1" applyBorder="1" applyAlignment="1">
      <x:alignment horizontal="center" vertical="center"/>
    </x:xf>
    <x:xf numFmtId="1" fontId="23" fillId="0" borderId="98" xfId="0" applyNumberFormat="1" applyFont="1" applyBorder="1" applyAlignment="1">
      <x:alignment horizontal="center" vertical="center"/>
    </x:xf>
    <x:xf numFmtId="1" fontId="20" fillId="0" borderId="20" xfId="0" applyNumberFormat="1" applyFont="1" applyBorder="1" applyAlignment="1">
      <x:alignment horizontal="center" vertical="center"/>
    </x:xf>
    <x:xf numFmtId="165" fontId="20" fillId="0" borderId="30" xfId="0" applyNumberFormat="1" applyFont="1" applyBorder="1" applyAlignment="1">
      <x:alignment horizontal="center" vertical="center"/>
    </x:xf>
    <x:xf numFmtId="1" fontId="20" fillId="0" borderId="30" xfId="0" applyNumberFormat="1" applyFont="1" applyBorder="1" applyAlignment="1">
      <x:alignment horizontal="center" vertical="center"/>
    </x:xf>
    <x:xf numFmtId="1" fontId="8" fillId="0" borderId="30" xfId="0" applyNumberFormat="1" applyFont="1" applyBorder="1" applyAlignment="1">
      <x:alignment horizontal="center" vertical="center"/>
    </x:xf>
    <x:xf numFmtId="0" fontId="2" fillId="0" borderId="30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/>
    </x:xf>
    <x:xf numFmtId="0" fontId="8" fillId="0" borderId="123" xfId="0" applyFont="1" applyBorder="1" applyAlignment="1">
      <x:alignment horizontal="center" vertical="center"/>
    </x:xf>
    <x:xf numFmtId="0" fontId="8" fillId="0" borderId="30" xfId="0" applyFont="1" applyBorder="1" applyAlignment="1">
      <x:alignment horizontal="center" vertical="center"/>
    </x:xf>
    <x:xf numFmtId="0" fontId="6" fillId="0" borderId="17" xfId="0" applyFont="1" applyBorder="1" applyAlignment="1">
      <x:alignment horizontal="center" vertical="center"/>
    </x:xf>
    <x:xf numFmtId="167" fontId="20" fillId="0" borderId="19" xfId="0" applyNumberFormat="1" applyFont="1" applyBorder="1" applyAlignment="1">
      <x:alignment horizontal="center" vertical="center"/>
    </x:xf>
    <x:xf numFmtId="167" fontId="20" fillId="0" borderId="18" xfId="0" applyNumberFormat="1" applyFont="1" applyBorder="1" applyAlignment="1">
      <x:alignment horizontal="center" vertical="center"/>
    </x:xf>
    <x:xf numFmtId="166" fontId="20" fillId="0" borderId="18" xfId="0" applyNumberFormat="1" applyFont="1" applyBorder="1" applyAlignment="1">
      <x:alignment horizontal="center" vertical="center"/>
    </x:xf>
    <x:xf numFmtId="164" fontId="20" fillId="0" borderId="18" xfId="0" applyNumberFormat="1" applyFont="1" applyBorder="1" applyAlignment="1">
      <x:alignment horizontal="center" vertical="center"/>
    </x:xf>
    <x:xf numFmtId="1" fontId="20" fillId="0" borderId="25" xfId="0" applyNumberFormat="1" applyFont="1" applyBorder="1" applyAlignment="1">
      <x:alignment horizontal="center" vertical="center"/>
    </x:xf>
    <x:xf numFmtId="1" fontId="23" fillId="0" borderId="99" xfId="0" applyNumberFormat="1" applyFont="1" applyBorder="1" applyAlignment="1">
      <x:alignment horizontal="center" vertical="center"/>
    </x:xf>
    <x:xf numFmtId="1" fontId="20" fillId="0" borderId="19" xfId="0" applyNumberFormat="1" applyFont="1" applyBorder="1" applyAlignment="1">
      <x:alignment horizontal="center" vertical="center"/>
    </x:xf>
    <x:xf numFmtId="165" fontId="20" fillId="0" borderId="31" xfId="0" applyNumberFormat="1" applyFont="1" applyBorder="1" applyAlignment="1">
      <x:alignment horizontal="center" vertical="center"/>
    </x:xf>
    <x:xf numFmtId="1" fontId="20" fillId="0" borderId="31" xfId="0" applyNumberFormat="1" applyFont="1" applyBorder="1" applyAlignment="1">
      <x:alignment horizontal="center" vertical="center"/>
    </x:xf>
    <x:xf numFmtId="1" fontId="8" fillId="0" borderId="31" xfId="0" applyNumberFormat="1" applyFont="1" applyBorder="1" applyAlignment="1">
      <x:alignment horizontal="center" vertical="center"/>
    </x:xf>
    <x:xf numFmtId="0" fontId="2" fillId="0" borderId="31" xfId="0" applyFont="1" applyBorder="1" applyAlignment="1">
      <x:alignment horizontal="center" vertical="center"/>
    </x:xf>
    <x:xf numFmtId="1" fontId="2" fillId="0" borderId="31" xfId="0" applyNumberFormat="1" applyFont="1" applyBorder="1" applyAlignment="1">
      <x:alignment horizontal="center" vertical="center"/>
    </x:xf>
    <x:xf numFmtId="1" fontId="8" fillId="0" borderId="19" xfId="0" applyNumberFormat="1" applyFont="1" applyBorder="1" applyAlignment="1">
      <x:alignment horizontal="center" vertical="center"/>
    </x:xf>
    <x:xf numFmtId="1" fontId="8" fillId="0" borderId="125" xfId="0" applyNumberFormat="1" applyFont="1" applyBorder="1" applyAlignment="1">
      <x:alignment horizontal="center" vertical="center"/>
    </x:xf>
    <x:xf numFmtId="0" fontId="6" fillId="0" borderId="104" xfId="0" applyFont="1" applyBorder="1" applyAlignment="1">
      <x:alignment horizontal="center" vertical="center"/>
    </x:xf>
    <x:xf numFmtId="167" fontId="20" fillId="0" borderId="105" xfId="0" applyNumberFormat="1" applyFont="1" applyBorder="1" applyAlignment="1">
      <x:alignment horizontal="center" vertical="center"/>
    </x:xf>
    <x:xf numFmtId="167" fontId="20" fillId="0" borderId="106" xfId="0" applyNumberFormat="1" applyFont="1" applyBorder="1" applyAlignment="1">
      <x:alignment horizontal="center" vertical="center"/>
    </x:xf>
    <x:xf numFmtId="166" fontId="20" fillId="0" borderId="106" xfId="0" applyNumberFormat="1" applyFont="1" applyBorder="1" applyAlignment="1">
      <x:alignment horizontal="center" vertical="center"/>
    </x:xf>
    <x:xf numFmtId="164" fontId="20" fillId="0" borderId="106" xfId="0" applyNumberFormat="1" applyFont="1" applyBorder="1" applyAlignment="1">
      <x:alignment horizontal="center" vertical="center"/>
    </x:xf>
    <x:xf numFmtId="1" fontId="20" fillId="0" borderId="107" xfId="0" applyNumberFormat="1" applyFont="1" applyBorder="1" applyAlignment="1">
      <x:alignment horizontal="center" vertical="center"/>
    </x:xf>
    <x:xf numFmtId="1" fontId="23" fillId="0" borderId="108" xfId="0" applyNumberFormat="1" applyFont="1" applyBorder="1" applyAlignment="1">
      <x:alignment horizontal="center" vertical="center"/>
    </x:xf>
    <x:xf numFmtId="1" fontId="20" fillId="0" borderId="105" xfId="0" applyNumberFormat="1" applyFont="1" applyBorder="1" applyAlignment="1">
      <x:alignment horizontal="center" vertical="center"/>
    </x:xf>
    <x:xf numFmtId="165" fontId="20" fillId="0" borderId="120" xfId="0" applyNumberFormat="1" applyFont="1" applyBorder="1" applyAlignment="1">
      <x:alignment horizontal="center" vertical="center"/>
    </x:xf>
    <x:xf numFmtId="1" fontId="20" fillId="0" borderId="109" xfId="0" applyNumberFormat="1" applyFont="1" applyBorder="1" applyAlignment="1">
      <x:alignment horizontal="center" vertical="center"/>
    </x:xf>
    <x:xf numFmtId="1" fontId="8" fillId="0" borderId="109" xfId="0" applyNumberFormat="1" applyFont="1" applyBorder="1" applyAlignment="1">
      <x:alignment horizontal="center" vertical="center"/>
    </x:xf>
    <x:xf numFmtId="1" fontId="20" fillId="0" borderId="120" xfId="0" applyNumberFormat="1" applyFont="1" applyBorder="1" applyAlignment="1">
      <x:alignment horizontal="center" vertical="center"/>
    </x:xf>
    <x:xf numFmtId="0" fontId="2" fillId="0" borderId="109" xfId="0" applyFont="1" applyBorder="1" applyAlignment="1">
      <x:alignment horizontal="center" vertical="center"/>
    </x:xf>
    <x:xf numFmtId="1" fontId="2" fillId="0" borderId="109" xfId="0" applyNumberFormat="1" applyFont="1" applyBorder="1" applyAlignment="1">
      <x:alignment horizontal="center" vertical="center"/>
    </x:xf>
    <x:xf numFmtId="1" fontId="8" fillId="0" borderId="105" xfId="0" applyNumberFormat="1" applyFont="1" applyBorder="1" applyAlignment="1">
      <x:alignment horizontal="center" vertical="center"/>
    </x:xf>
    <x:xf numFmtId="1" fontId="8" fillId="0" borderId="127" xfId="0" applyNumberFormat="1" applyFont="1" applyBorder="1" applyAlignment="1">
      <x:alignment horizontal="center" vertical="center"/>
    </x:xf>
    <x:xf numFmtId="0" fontId="6" fillId="0" borderId="111" xfId="0" applyFont="1" applyBorder="1" applyAlignment="1">
      <x:alignment horizontal="center" vertical="center"/>
    </x:xf>
    <x:xf numFmtId="167" fontId="20" fillId="0" borderId="112" xfId="0" applyNumberFormat="1" applyFont="1" applyBorder="1" applyAlignment="1">
      <x:alignment horizontal="center" vertical="center"/>
    </x:xf>
    <x:xf numFmtId="167" fontId="20" fillId="0" borderId="113" xfId="0" applyNumberFormat="1" applyFont="1" applyBorder="1" applyAlignment="1">
      <x:alignment horizontal="center" vertical="center"/>
    </x:xf>
    <x:xf numFmtId="166" fontId="20" fillId="0" borderId="113" xfId="0" applyNumberFormat="1" applyFont="1" applyBorder="1" applyAlignment="1">
      <x:alignment horizontal="center" vertical="center"/>
    </x:xf>
    <x:xf numFmtId="164" fontId="20" fillId="0" borderId="113" xfId="0" applyNumberFormat="1" applyFont="1" applyBorder="1" applyAlignment="1">
      <x:alignment horizontal="center" vertical="center"/>
    </x:xf>
    <x:xf numFmtId="1" fontId="20" fillId="0" borderId="114" xfId="0" applyNumberFormat="1" applyFont="1" applyBorder="1" applyAlignment="1">
      <x:alignment horizontal="center" vertical="center"/>
    </x:xf>
    <x:xf numFmtId="1" fontId="23" fillId="0" borderId="115" xfId="0" applyNumberFormat="1" applyFont="1" applyBorder="1" applyAlignment="1">
      <x:alignment horizontal="center" vertical="center"/>
    </x:xf>
    <x:xf numFmtId="1" fontId="20" fillId="0" borderId="112" xfId="0" applyNumberFormat="1" applyFont="1" applyBorder="1" applyAlignment="1">
      <x:alignment horizontal="center" vertical="center"/>
    </x:xf>
    <x:xf numFmtId="165" fontId="20" fillId="0" borderId="116" xfId="0" applyNumberFormat="1" applyFont="1" applyBorder="1" applyAlignment="1">
      <x:alignment horizontal="center" vertical="center"/>
    </x:xf>
    <x:xf numFmtId="1" fontId="20" fillId="0" borderId="116" xfId="0" applyNumberFormat="1" applyFont="1" applyBorder="1" applyAlignment="1">
      <x:alignment horizontal="center" vertical="center"/>
    </x:xf>
    <x:xf numFmtId="1" fontId="8" fillId="0" borderId="116" xfId="0" applyNumberFormat="1" applyFont="1" applyBorder="1" applyAlignment="1">
      <x:alignment horizontal="center" vertical="center"/>
    </x:xf>
    <x:xf numFmtId="0" fontId="2" fillId="0" borderId="116" xfId="0" applyFont="1" applyBorder="1" applyAlignment="1">
      <x:alignment horizontal="center" vertical="center"/>
    </x:xf>
    <x:xf numFmtId="1" fontId="2" fillId="0" borderId="116" xfId="0" applyNumberFormat="1" applyFont="1" applyBorder="1" applyAlignment="1">
      <x:alignment horizontal="center" vertical="center"/>
    </x:xf>
    <x:xf numFmtId="1" fontId="8" fillId="0" borderId="112" xfId="0" applyNumberFormat="1" applyFont="1" applyBorder="1" applyAlignment="1">
      <x:alignment horizontal="center" vertical="center"/>
    </x:xf>
    <x:xf numFmtId="1" fontId="8" fillId="0" borderId="129" xfId="0" applyNumberFormat="1" applyFont="1" applyBorder="1" applyAlignment="1">
      <x:alignment horizontal="center" vertical="center"/>
    </x:xf>
    <x:xf numFmtId="167" fontId="20" fillId="0" borderId="118" xfId="0" applyNumberFormat="1" applyFont="1" applyBorder="1" applyAlignment="1">
      <x:alignment horizontal="center" vertical="center"/>
    </x:xf>
    <x:xf numFmtId="167" fontId="20" fillId="0" borderId="119" xfId="0" applyNumberFormat="1" applyFont="1" applyBorder="1" applyAlignment="1">
      <x:alignment horizontal="center" vertical="center"/>
    </x:xf>
    <x:xf numFmtId="166" fontId="20" fillId="0" borderId="119" xfId="0" applyNumberFormat="1" applyFont="1" applyBorder="1" applyAlignment="1">
      <x:alignment horizontal="center" vertical="center"/>
    </x:xf>
    <x:xf numFmtId="165" fontId="20" fillId="0" borderId="109" xfId="0" applyNumberFormat="1" applyFont="1" applyBorder="1" applyAlignment="1">
      <x:alignment horizontal="center" vertical="center"/>
    </x:xf>
    <x:xf numFmtId="165" fontId="20" fillId="0" borderId="121" xfId="0" applyNumberFormat="1" applyFont="1" applyBorder="1" applyAlignment="1">
      <x:alignment horizontal="center" vertical="center"/>
    </x:xf>
    <x:xf numFmtId="1" fontId="20" fillId="0" borderId="121" xfId="0" applyNumberFormat="1" applyFont="1" applyBorder="1" applyAlignment="1">
      <x:alignment horizontal="center" vertical="center"/>
    </x:xf>
    <x:xf numFmtId="164" fontId="8" fillId="0" borderId="18" xfId="0" applyNumberFormat="1" applyFont="1" applyBorder="1" applyAlignment="1">
      <x:alignment horizontal="center" vertical="center"/>
    </x:xf>
    <x:xf numFmtId="1" fontId="8" fillId="0" borderId="25" xfId="0" applyNumberFormat="1" applyFont="1" applyBorder="1" applyAlignment="1">
      <x:alignment horizontal="center" vertical="center"/>
    </x:xf>
    <x:xf numFmtId="1" fontId="20" fillId="0" borderId="115" xfId="0" applyNumberFormat="1" applyFont="1" applyBorder="1" applyAlignment="1">
      <x:alignment horizontal="center" vertical="center"/>
    </x:xf>
    <x:xf numFmtId="1" fontId="20" fillId="0" borderId="99" xfId="0" applyNumberFormat="1" applyFont="1" applyBorder="1" applyAlignment="1">
      <x:alignment horizontal="center" vertical="center"/>
    </x:xf>
    <x:xf numFmtId="1" fontId="20" fillId="0" borderId="108" xfId="0" applyNumberFormat="1" applyFont="1" applyBorder="1" applyAlignment="1">
      <x:alignment horizontal="center" vertical="center"/>
    </x:xf>
    <x:xf numFmtId="0" fontId="2" fillId="0" borderId="120" xfId="0" applyFont="1" applyBorder="1" applyAlignment="1">
      <x:alignment horizontal="center" vertical="center"/>
    </x:xf>
    <x:xf numFmtId="1" fontId="2" fillId="0" borderId="120" xfId="0" applyNumberFormat="1" applyFont="1" applyBorder="1" applyAlignment="1">
      <x:alignment horizontal="center" vertical="center"/>
    </x:xf>
    <x:xf numFmtId="1" fontId="8" fillId="0" borderId="118" xfId="0" applyNumberFormat="1" applyFont="1" applyBorder="1" applyAlignment="1">
      <x:alignment horizontal="center" vertical="center"/>
    </x:xf>
    <x:xf numFmtId="1" fontId="8" fillId="0" borderId="131" xfId="0" applyNumberFormat="1" applyFont="1" applyBorder="1" applyAlignment="1">
      <x:alignment horizontal="center" vertical="center"/>
    </x:xf>
    <x:xf numFmtId="1" fontId="8" fillId="0" borderId="120" xfId="0" applyNumberFormat="1" applyFont="1" applyBorder="1" applyAlignment="1">
      <x:alignment horizontal="center" vertical="center"/>
    </x:xf>
    <x:xf numFmtId="0" fontId="6" fillId="2" borderId="41" xfId="0" applyFont="1" applyFill="1" applyBorder="1" applyAlignment="1">
      <x:alignment horizontal="left" vertical="center"/>
    </x:xf>
    <x:xf numFmtId="0" fontId="6" fillId="2" borderId="88" xfId="0" applyFont="1" applyFill="1" applyBorder="1" applyAlignment="1">
      <x:alignment horizontal="center" vertical="center"/>
    </x:xf>
    <x:xf numFmtId="0" fontId="3" fillId="2" borderId="32" xfId="0" applyFont="1" applyFill="1" applyBorder="1" applyAlignment="1">
      <x:alignment horizontal="center" vertical="center"/>
    </x:xf>
    <x:xf numFmtId="1" fontId="7" fillId="2" borderId="32" xfId="0" applyNumberFormat="1" applyFont="1" applyFill="1" applyBorder="1" applyAlignment="1">
      <x:alignment horizontal="center" vertical="center"/>
    </x:xf>
    <x:xf numFmtId="0" fontId="7" fillId="2" borderId="32" xfId="0" applyFont="1" applyFill="1" applyBorder="1" applyAlignment="1">
      <x:alignment vertical="center"/>
    </x:xf>
    <x:xf numFmtId="0" fontId="6" fillId="2" borderId="9" xfId="0" applyFont="1" applyFill="1" applyBorder="1" applyAlignment="1">
      <x:alignment horizontal="left" vertical="center"/>
    </x:xf>
    <x:xf numFmtId="0" fontId="6" fillId="2" borderId="6" xfId="0" applyFont="1" applyFill="1" applyBorder="1" applyAlignment="1">
      <x:alignment horizontal="center" vertical="center"/>
    </x:xf>
    <x:xf numFmtId="0" fontId="3" fillId="2" borderId="4" xfId="0" applyFont="1" applyFill="1" applyBorder="1" applyAlignment="1">
      <x:alignment horizontal="center" vertical="center"/>
    </x:xf>
    <x:xf numFmtId="0" fontId="7" fillId="2" borderId="4" xfId="0" applyFont="1" applyFill="1" applyBorder="1" applyAlignment="1">
      <x:alignment vertical="center"/>
    </x:xf>
    <x:xf numFmtId="1" fontId="7" fillId="2" borderId="4" xfId="0" applyNumberFormat="1" applyFont="1" applyFill="1" applyBorder="1" applyAlignment="1">
      <x:alignment horizontal="center" vertical="center"/>
    </x:xf>
    <x:xf numFmtId="0" fontId="3" fillId="2" borderId="67" xfId="0" applyFont="1" applyFill="1" applyBorder="1" applyAlignment="1">
      <x:alignment horizontal="center" vertical="center"/>
    </x:xf>
    <x:xf numFmtId="0" fontId="7" fillId="2" borderId="67" xfId="0" applyFont="1" applyFill="1" applyBorder="1" applyAlignment="1">
      <x:alignment vertical="center"/>
    </x:xf>
    <x:xf numFmtId="1" fontId="7" fillId="2" borderId="67" xfId="0" applyNumberFormat="1" applyFont="1" applyFill="1" applyBorder="1" applyAlignment="1">
      <x:alignment horizontal="center" vertical="center"/>
    </x:xf>
    <x:xf numFmtId="0" fontId="3" fillId="0" borderId="4" xfId="0" applyFont="1" applyBorder="1" applyAlignment="1">
      <x:alignment horizontal="left" vertical="center"/>
    </x:xf>
    <x:xf numFmtId="0" fontId="9" fillId="2" borderId="4" xfId="0" applyFont="1" applyFill="1" applyBorder="1" applyAlignment="1">
      <x:alignment vertical="center"/>
    </x:xf>
    <x:xf numFmtId="1" fontId="7" fillId="0" borderId="34" xfId="0" applyNumberFormat="1" applyFont="1" applyBorder="1" applyAlignment="1">
      <x:alignment horizontal="center" vertical="center"/>
    </x:xf>
    <x:xf numFmtId="1" fontId="6" fillId="0" borderId="4" xfId="0" applyNumberFormat="1" applyFont="1" applyBorder="1" applyAlignment="1">
      <x:alignment horizontal="center" vertical="center" wrapText="1"/>
    </x:xf>
    <x:xf numFmtId="0" fontId="6" fillId="2" borderId="9" xfId="0" applyFont="1" applyFill="1" applyBorder="1" applyAlignment="1">
      <x:alignment vertical="center"/>
    </x:xf>
    <x:xf numFmtId="14" fontId="7" fillId="2" borderId="32" xfId="0" applyNumberFormat="1" applyFont="1" applyFill="1" applyBorder="1" applyAlignment="1">
      <x:alignment horizontal="center" vertical="center"/>
    </x:xf>
    <x:xf numFmtId="0" fontId="6" fillId="2" borderId="69" xfId="0" applyFont="1" applyFill="1" applyBorder="1" applyAlignment="1">
      <x:alignment vertical="center"/>
    </x:xf>
    <x:xf numFmtId="0" fontId="6" fillId="2" borderId="80" xfId="0" applyFont="1" applyFill="1" applyBorder="1" applyAlignment="1">
      <x:alignment horizontal="center" vertical="center"/>
    </x:xf>
    <x:xf numFmtId="0" fontId="0" fillId="0" borderId="57" xfId="0" applyBorder="1"/>
    <x:xf numFmtId="0" fontId="0" fillId="0" borderId="0" xfId="0" applyAlignment="1">
      <x:alignment horizontal="center"/>
    </x:xf>
    <x:xf numFmtId="1" fontId="8" fillId="0" borderId="121" xfId="0" applyNumberFormat="1" applyFont="1" applyBorder="1" applyAlignment="1">
      <x:alignment horizontal="center" vertical="center"/>
    </x:xf>
    <x:xf numFmtId="1" fontId="8" fillId="0" borderId="134" xfId="0" applyNumberFormat="1" applyFont="1" applyBorder="1" applyAlignment="1">
      <x:alignment horizontal="center" vertical="center"/>
    </x:xf>
    <x:xf numFmtId="0" fontId="0" fillId="2" borderId="79" xfId="0" applyFill="1" applyBorder="1" applyAlignment="1">
      <x:alignment horizontal="center" vertical="center"/>
    </x:xf>
    <x:xf numFmtId="1" fontId="17" fillId="2" borderId="92" xfId="0" applyNumberFormat="1" applyFont="1" applyFill="1" applyBorder="1" applyAlignment="1">
      <x:alignment horizontal="center" vertical="center"/>
    </x:xf>
    <x:xf numFmtId="1" fontId="17" fillId="2" borderId="93" xfId="0" applyNumberFormat="1" applyFont="1" applyFill="1" applyBorder="1" applyAlignment="1">
      <x:alignment horizontal="center" vertical="center"/>
    </x:xf>
    <x:xf numFmtId="165" fontId="17" fillId="2" borderId="35" xfId="0" applyNumberFormat="1" applyFont="1" applyFill="1" applyBorder="1" applyAlignment="1">
      <x:alignment horizontal="center" vertical="center"/>
    </x:xf>
    <x:xf numFmtId="1" fontId="17" fillId="2" borderId="35" xfId="0" applyNumberFormat="1" applyFont="1" applyFill="1" applyBorder="1" applyAlignment="1">
      <x:alignment horizontal="center" vertical="center"/>
    </x:xf>
    <x:xf numFmtId="0" fontId="1" fillId="0" borderId="0" xfId="0" applyFont="1"/>
    <x:xf numFmtId="0" fontId="28" fillId="0" borderId="0" xfId="0" applyFont="1"/>
    <x:xf numFmtId="0" fontId="7" fillId="0" borderId="0" xfId="0" applyFont="1" applyAlignment="1">
      <x:alignment horizontal="center" wrapText="1"/>
    </x:xf>
    <x:xf numFmtId="0" fontId="0" fillId="0" borderId="0" xfId="0" applyAlignment="1">
      <x:alignment vertical="center"/>
    </x:xf>
    <x:xf numFmtId="0" fontId="1" fillId="0" borderId="0" xfId="0" applyFont="1" applyAlignment="1">
      <x:alignment vertical="center"/>
    </x:xf>
    <x:xf numFmtId="0" fontId="24" fillId="0" borderId="0" xfId="0" applyFont="1" applyAlignment="1">
      <x:alignment horizontal="center" vertical="center"/>
    </x:xf>
    <x:xf numFmtId="0" fontId="24" fillId="0" borderId="0" xfId="0" applyFont="1" applyAlignment="1">
      <x:alignment vertical="center"/>
    </x:xf>
    <x:xf numFmtId="0" fontId="24" fillId="0" borderId="0" xfId="0" applyFont="1" applyAlignment="1">
      <x:alignment vertical="center" wrapText="1"/>
    </x:xf>
    <x:xf numFmtId="0" fontId="28" fillId="0" borderId="0" xfId="0" applyFont="1" applyAlignment="1">
      <x:alignment horizontal="center"/>
    </x:xf>
    <x:xf numFmtId="0" fontId="28" fillId="4" borderId="0" xfId="0" applyFont="1" applyFill="1" applyAlignment="1">
      <x:alignment horizontal="center"/>
    </x:xf>
    <x:xf numFmtId="1" fontId="28" fillId="4" borderId="0" xfId="0" applyNumberFormat="1" applyFont="1" applyFill="1" applyAlignment="1">
      <x:alignment horizontal="center"/>
    </x:xf>
    <x:xf numFmtId="0" fontId="0" fillId="5" borderId="0" xfId="0" applyFill="1" applyAlignment="1">
      <x:alignment horizontal="center" vertical="center"/>
    </x:xf>
    <x:xf numFmtId="0" fontId="0" fillId="6" borderId="96" xfId="0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3" borderId="0" xfId="0" applyFill="1" applyAlignment="1">
      <x:alignment horizontal="center" vertical="center"/>
    </x:xf>
    <x:xf numFmtId="0" fontId="29" fillId="0" borderId="0" xfId="0" applyFont="1" applyAlignment="1">
      <x:alignment vertical="center"/>
    </x:xf>
    <x:xf numFmtId="0" fontId="0" fillId="0" borderId="0" xfId="0" applyAlignment="1">
      <x:alignment vertical="center" wrapText="1"/>
    </x:xf>
    <x:xf numFmtId="0" fontId="30" fillId="0" borderId="0" xfId="0" applyFont="1" applyAlignment="1">
      <x:alignment vertical="center" wrapText="1"/>
    </x:xf>
    <x:xf numFmtId="1" fontId="18" fillId="0" borderId="4" xfId="0" applyNumberFormat="1" applyFont="1" applyBorder="1" applyAlignment="1">
      <x:alignment vertical="center" wrapText="1"/>
    </x:xf>
    <x:xf numFmtId="0" fontId="3" fillId="7" borderId="28" xfId="0" applyFont="1" applyFill="1" applyBorder="1" applyAlignment="1">
      <x:alignment horizontal="center" vertical="center"/>
    </x:xf>
    <x:xf numFmtId="1" fontId="11" fillId="7" borderId="62" xfId="0" applyNumberFormat="1" applyFont="1" applyFill="1" applyBorder="1" applyAlignment="1">
      <x:alignment horizontal="center" vertical="center"/>
    </x:xf>
    <x:xf numFmtId="1" fontId="11" fillId="7" borderId="90" xfId="0" applyNumberFormat="1" applyFont="1" applyFill="1" applyBorder="1" applyAlignment="1">
      <x:alignment horizontal="center" vertical="center"/>
    </x:xf>
    <x:xf numFmtId="1" fontId="11" fillId="7" borderId="91" xfId="0" applyNumberFormat="1" applyFont="1" applyFill="1" applyBorder="1" applyAlignment="1">
      <x:alignment horizontal="center" vertical="center"/>
    </x:xf>
    <x:xf numFmtId="1" fontId="11" fillId="7" borderId="87" xfId="0" applyNumberFormat="1" applyFont="1" applyFill="1" applyBorder="1" applyAlignment="1">
      <x:alignment horizontal="center" vertical="center"/>
    </x:xf>
    <x:xf numFmtId="1" fontId="11" fillId="7" borderId="63" xfId="0" applyNumberFormat="1" applyFont="1" applyFill="1" applyBorder="1" applyAlignment="1">
      <x:alignment horizontal="center" vertical="center"/>
    </x:xf>
    <x:xf numFmtId="165" fontId="11" fillId="7" borderId="29" xfId="0" applyNumberFormat="1" applyFont="1" applyFill="1" applyBorder="1" applyAlignment="1">
      <x:alignment horizontal="center" vertical="center"/>
    </x:xf>
    <x:xf numFmtId="1" fontId="11" fillId="7" borderId="29" xfId="0" applyNumberFormat="1" applyFont="1" applyFill="1" applyBorder="1" applyAlignment="1">
      <x:alignment horizontal="center" vertical="center"/>
    </x:xf>
    <x:xf numFmtId="14" fontId="7" fillId="2" borderId="35" xfId="0" applyNumberFormat="1" applyFont="1" applyFill="1" applyBorder="1" applyAlignment="1">
      <x:alignment horizontal="center" vertical="center"/>
    </x:xf>
    <x:xf numFmtId="0" fontId="6" fillId="0" borderId="138" xfId="0" applyFont="1" applyBorder="1" applyAlignment="1">
      <x:alignment horizontal="center" vertical="center"/>
    </x:xf>
    <x:xf numFmtId="49" fontId="7" fillId="0" borderId="102" xfId="0" applyNumberFormat="1" applyFont="1" applyBorder="1" applyAlignment="1">
      <x:alignment horizontal="center" vertical="center"/>
    </x:xf>
    <x:xf numFmtId="49" fontId="7" fillId="0" borderId="2" xfId="0" applyNumberFormat="1" applyFont="1" applyBorder="1" applyAlignment="1">
      <x:alignment horizontal="center" vertical="center"/>
    </x:xf>
    <x:xf numFmtId="49" fontId="7" fillId="0" borderId="67" xfId="0" applyNumberFormat="1" applyFont="1" applyBorder="1" applyAlignment="1">
      <x:alignment horizontal="center" vertical="center"/>
    </x:xf>
    <x:xf numFmtId="49" fontId="7" fillId="0" borderId="32" xfId="0" applyNumberFormat="1" applyFont="1" applyBorder="1" applyAlignment="1">
      <x:alignment horizontal="center" vertical="center"/>
    </x:xf>
    <x:xf numFmtId="1" fontId="8" fillId="0" borderId="128" xfId="0" applyNumberFormat="1" applyFont="1" applyBorder="1" applyAlignment="1">
      <x:alignment horizontal="center" vertical="center"/>
    </x:xf>
    <x:xf numFmtId="1" fontId="8" fillId="0" borderId="110" xfId="0" applyNumberFormat="1" applyFont="1" applyBorder="1" applyAlignment="1">
      <x:alignment horizontal="center" vertical="center"/>
    </x:xf>
    <x:xf numFmtId="1" fontId="8" fillId="0" borderId="130" xfId="0" applyNumberFormat="1" applyFont="1" applyBorder="1" applyAlignment="1">
      <x:alignment horizontal="center" vertical="center"/>
    </x:xf>
    <x:xf numFmtId="1" fontId="8" fillId="0" borderId="117" xfId="0" applyNumberFormat="1" applyFont="1" applyBorder="1" applyAlignment="1">
      <x:alignment horizontal="center" vertical="center"/>
    </x:xf>
    <x:xf numFmtId="1" fontId="8" fillId="0" borderId="126" xfId="0" applyNumberFormat="1" applyFont="1" applyBorder="1" applyAlignment="1">
      <x:alignment horizontal="center" vertical="center"/>
    </x:xf>
    <x:xf numFmtId="1" fontId="8" fillId="0" borderId="38" xfId="0" applyNumberFormat="1" applyFont="1" applyBorder="1" applyAlignment="1">
      <x:alignment horizontal="center" vertical="center"/>
    </x:xf>
    <x:xf numFmtId="0" fontId="7" fillId="0" borderId="103" xfId="0" applyFont="1" applyBorder="1" applyAlignment="1">
      <x:alignment horizontal="center" vertical="center"/>
    </x:xf>
    <x:xf numFmtId="0" fontId="7" fillId="0" borderId="26" xfId="0" applyFont="1" applyBorder="1" applyAlignment="1">
      <x:alignment horizontal="center" vertical="center"/>
    </x:xf>
    <x:xf numFmtId="1" fontId="6" fillId="2" borderId="41" xfId="0" applyNumberFormat="1" applyFont="1" applyFill="1" applyBorder="1" applyAlignment="1">
      <x:alignment horizontal="center" vertical="center"/>
    </x:xf>
    <x:xf numFmtId="49" fontId="19" fillId="0" borderId="67" xfId="0" applyNumberFormat="1" applyFont="1" applyBorder="1" applyAlignment="1">
      <x:alignment horizontal="center" vertical="center" wrapText="1"/>
    </x:xf>
    <x:xf numFmtId="49" fontId="19" fillId="0" borderId="32" xfId="0" applyNumberFormat="1" applyFont="1" applyBorder="1" applyAlignment="1">
      <x:alignment horizontal="center" vertical="center" wrapText="1"/>
    </x:xf>
    <x:xf numFmtId="49" fontId="9" fillId="0" borderId="67" xfId="0" applyNumberFormat="1" applyFont="1" applyBorder="1" applyAlignment="1">
      <x:alignment horizontal="center" vertical="center" wrapText="1"/>
    </x:xf>
    <x:xf numFmtId="49" fontId="9" fillId="0" borderId="60" xfId="0" applyNumberFormat="1" applyFont="1" applyBorder="1" applyAlignment="1">
      <x:alignment horizontal="center" vertical="center" wrapText="1"/>
    </x:xf>
    <x:xf numFmtId="49" fontId="9" fillId="0" borderId="32" xfId="0" applyNumberFormat="1" applyFont="1" applyBorder="1" applyAlignment="1">
      <x:alignment horizontal="center" vertical="center" wrapText="1"/>
    </x:xf>
    <x:xf numFmtId="1" fontId="8" fillId="0" borderId="132" xfId="0" applyNumberFormat="1" applyFont="1" applyBorder="1" applyAlignment="1">
      <x:alignment horizontal="center" vertical="center"/>
    </x:xf>
    <x:xf numFmtId="1" fontId="8" fillId="0" borderId="133" xfId="0" applyNumberFormat="1" applyFont="1" applyBorder="1" applyAlignment="1">
      <x:alignment horizontal="center" vertical="center"/>
    </x:xf>
    <x:xf numFmtId="1" fontId="8" fillId="0" borderId="57" xfId="0" applyNumberFormat="1" applyFont="1" applyBorder="1" applyAlignment="1">
      <x:alignment horizontal="left" vertical="top" wrapText="1"/>
    </x:xf>
    <x:xf numFmtId="1" fontId="8" fillId="0" borderId="0" xfId="0" applyNumberFormat="1" applyFont="1" applyAlignment="1">
      <x:alignment horizontal="left" vertical="top" wrapText="1"/>
    </x:xf>
    <x:xf numFmtId="1" fontId="8" fillId="0" borderId="11" xfId="0" applyNumberFormat="1" applyFont="1" applyBorder="1" applyAlignment="1">
      <x:alignment horizontal="left" vertical="top" wrapText="1"/>
    </x:xf>
    <x:xf numFmtId="49" fontId="15" fillId="0" borderId="67" xfId="0" applyNumberFormat="1" applyFont="1" applyBorder="1" applyAlignment="1">
      <x:alignment horizontal="center" vertical="center" wrapText="1"/>
    </x:xf>
    <x:xf numFmtId="49" fontId="15" fillId="0" borderId="60" xfId="0" applyNumberFormat="1" applyFont="1" applyBorder="1" applyAlignment="1">
      <x:alignment horizontal="center" vertical="center" wrapText="1"/>
    </x:xf>
    <x:xf numFmtId="49" fontId="15" fillId="0" borderId="32" xfId="0" applyNumberFormat="1" applyFont="1" applyBorder="1" applyAlignment="1">
      <x:alignment horizontal="center" vertical="center" wrapText="1"/>
    </x:xf>
    <x:xf numFmtId="1" fontId="18" fillId="7" borderId="34" xfId="0" applyNumberFormat="1" applyFont="1" applyFill="1" applyBorder="1" applyAlignment="1">
      <x:alignment horizontal="center" vertical="center" wrapText="1"/>
    </x:xf>
    <x:xf numFmtId="1" fontId="18" fillId="7" borderId="9" xfId="0" applyNumberFormat="1" applyFont="1" applyFill="1" applyBorder="1" applyAlignment="1">
      <x:alignment horizontal="center" vertical="center" wrapText="1"/>
    </x:xf>
    <x:xf numFmtId="1" fontId="18" fillId="7" borderId="6" xfId="0" applyNumberFormat="1" applyFont="1" applyFill="1" applyBorder="1" applyAlignment="1">
      <x:alignment horizontal="center" vertical="center" wrapText="1"/>
    </x:xf>
    <x:xf numFmtId="49" fontId="7" fillId="0" borderId="59" xfId="0" applyNumberFormat="1" applyFont="1" applyBorder="1" applyAlignment="1">
      <x:alignment horizontal="center" vertical="center"/>
    </x:xf>
    <x:xf numFmtId="49" fontId="7" fillId="0" borderId="5" xfId="0" applyNumberFormat="1" applyFont="1" applyBorder="1" applyAlignment="1">
      <x:alignment horizontal="center" vertical="center"/>
    </x:xf>
    <x:xf numFmtId="49" fontId="7" fillId="0" borderId="57" xfId="0" applyNumberFormat="1" applyFont="1" applyBorder="1" applyAlignment="1">
      <x:alignment horizontal="center" vertical="center"/>
    </x:xf>
    <x:xf numFmtId="49" fontId="7" fillId="0" borderId="0" xfId="0" applyNumberFormat="1" applyFont="1" applyAlignment="1">
      <x:alignment horizontal="center" vertical="center"/>
    </x:xf>
    <x:xf numFmtId="49" fontId="7" fillId="0" borderId="58" xfId="0" applyNumberFormat="1" applyFont="1" applyBorder="1" applyAlignment="1">
      <x:alignment horizontal="center" vertical="center"/>
    </x:xf>
    <x:xf numFmtId="49" fontId="7" fillId="0" borderId="71" xfId="0" applyNumberFormat="1" applyFont="1" applyBorder="1" applyAlignment="1">
      <x:alignment horizontal="center" vertical="center"/>
    </x:xf>
    <x:xf numFmtId="49" fontId="7" fillId="0" borderId="67" xfId="0" applyNumberFormat="1" applyFont="1" applyBorder="1" applyAlignment="1">
      <x:alignment horizontal="center" vertical="center"/>
    </x:xf>
    <x:xf numFmtId="49" fontId="7" fillId="0" borderId="60" xfId="0" applyNumberFormat="1" applyFont="1" applyBorder="1" applyAlignment="1">
      <x:alignment horizontal="center" vertical="center"/>
    </x:xf>
    <x:xf numFmtId="49" fontId="7" fillId="0" borderId="32" xfId="0" applyNumberFormat="1" applyFont="1" applyBorder="1" applyAlignment="1">
      <x:alignment horizontal="center" vertical="center"/>
    </x:xf>
    <x:xf numFmtId="49" fontId="9" fillId="0" borderId="9" xfId="0" applyNumberFormat="1" applyFont="1" applyBorder="1" applyAlignment="1">
      <x:alignment horizontal="center" vertical="center"/>
    </x:xf>
    <x:xf numFmtId="49" fontId="9" fillId="0" borderId="39" xfId="0" applyNumberFormat="1" applyFont="1" applyBorder="1" applyAlignment="1">
      <x:alignment horizontal="center" vertical="center"/>
    </x:xf>
    <x:xf numFmtId="49" fontId="6" fillId="0" borderId="5" xfId="0" applyNumberFormat="1" applyFont="1" applyBorder="1" applyAlignment="1">
      <x:alignment horizontal="center" vertical="center"/>
    </x:xf>
    <x:xf numFmtId="49" fontId="6" fillId="0" borderId="14" xfId="0" applyNumberFormat="1" applyFont="1" applyBorder="1" applyAlignment="1">
      <x:alignment horizontal="center" vertical="center"/>
    </x:xf>
    <x:xf numFmtId="49" fontId="6" fillId="0" borderId="71" xfId="0" applyNumberFormat="1" applyFont="1" applyBorder="1" applyAlignment="1">
      <x:alignment horizontal="center" vertical="center"/>
    </x:xf>
    <x:xf numFmtId="49" fontId="6" fillId="0" borderId="36" xfId="0" applyNumberFormat="1" applyFont="1" applyBorder="1" applyAlignment="1">
      <x:alignment horizontal="center" vertical="center"/>
    </x:xf>
    <x:xf numFmtId="0" fontId="8" fillId="0" borderId="124" xfId="0" applyFont="1" applyBorder="1" applyAlignment="1">
      <x:alignment horizontal="center" vertical="center"/>
    </x:xf>
    <x:xf numFmtId="0" fontId="8" fillId="0" borderId="37" xfId="0" applyFont="1" applyBorder="1" applyAlignment="1">
      <x:alignment horizontal="center" vertical="center"/>
    </x:xf>
    <x:xf numFmtId="49" fontId="7" fillId="0" borderId="67" xfId="0" applyNumberFormat="1" applyFont="1" applyBorder="1" applyAlignment="1">
      <x:alignment horizontal="center" vertical="center"/>
    </x:xf>
    <x:xf numFmtId="49" fontId="7" fillId="0" borderId="32" xfId="0" applyNumberFormat="1" applyFont="1" applyBorder="1" applyAlignment="1">
      <x:alignment horizontal="center" vertical="center"/>
    </x:xf>
    <x:xf numFmtId="0" fontId="9" fillId="0" borderId="100" xfId="0" applyFont="1" applyBorder="1" applyAlignment="1">
      <x:alignment horizontal="center" vertical="center" wrapText="1"/>
    </x:xf>
    <x:xf numFmtId="0" fontId="9" fillId="0" borderId="89" xfId="0" applyFont="1" applyBorder="1" applyAlignment="1">
      <x:alignment horizontal="center" vertical="center" wrapText="1"/>
    </x:xf>
    <x:xf numFmtId="0" fontId="7" fillId="0" borderId="101" xfId="0" applyFont="1" applyBorder="1" applyAlignment="1">
      <x:alignment horizontal="center" vertical="center"/>
    </x:xf>
    <x:xf numFmtId="0" fontId="7" fillId="0" borderId="3" xfId="0" applyFont="1" applyBorder="1" applyAlignment="1">
      <x:alignment horizontal="center" vertical="center"/>
    </x:xf>
    <x:xf numFmtId="0" fontId="7" fillId="0" borderId="102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2" borderId="34" xfId="0" applyFont="1" applyFill="1" applyBorder="1" applyAlignment="1">
      <x:alignment horizontal="center" vertical="center"/>
    </x:xf>
    <x:xf numFmtId="0" fontId="7" fillId="2" borderId="39" xfId="0" applyFont="1" applyFill="1" applyBorder="1" applyAlignment="1">
      <x:alignment horizontal="center" vertical="center"/>
    </x:xf>
    <x:xf numFmtId="0" fontId="7" fillId="2" borderId="79" xfId="0" applyFont="1" applyFill="1" applyBorder="1" applyAlignment="1">
      <x:alignment horizontal="center" vertical="center"/>
    </x:xf>
    <x:xf numFmtId="0" fontId="7" fillId="2" borderId="70" xfId="0" applyFont="1" applyFill="1" applyBorder="1" applyAlignment="1">
      <x:alignment horizontal="center" vertical="center"/>
    </x:xf>
    <x:xf numFmtId="168" fontId="7" fillId="2" borderId="34" xfId="0" applyNumberFormat="1" applyFont="1" applyFill="1" applyBorder="1" applyAlignment="1">
      <x:alignment horizontal="center" vertical="center"/>
    </x:xf>
    <x:xf numFmtId="168" fontId="7" fillId="2" borderId="9" xfId="0" applyNumberFormat="1" applyFont="1" applyFill="1" applyBorder="1" applyAlignment="1">
      <x:alignment horizontal="center" vertical="center"/>
    </x:xf>
    <x:xf numFmtId="168" fontId="7" fillId="2" borderId="6" xfId="0" applyNumberFormat="1" applyFont="1" applyFill="1" applyBorder="1" applyAlignment="1">
      <x:alignment horizontal="center" vertical="center"/>
    </x:xf>
    <x:xf numFmtId="0" fontId="1" fillId="2" borderId="13" xfId="0" applyFont="1" applyFill="1" applyBorder="1" applyAlignment="1">
      <x:alignment horizontal="left" vertical="center"/>
    </x:xf>
    <x:xf numFmtId="0" fontId="1" fillId="2" borderId="9" xfId="0" applyFont="1" applyFill="1" applyBorder="1" applyAlignment="1">
      <x:alignment horizontal="left" vertical="center"/>
    </x:xf>
    <x:xf numFmtId="1" fontId="6" fillId="2" borderId="9" xfId="0" applyNumberFormat="1" applyFont="1" applyFill="1" applyBorder="1" applyAlignment="1">
      <x:alignment horizontal="center" vertical="center"/>
    </x:xf>
    <x:xf numFmtId="1" fontId="6" fillId="2" borderId="69" xfId="0" applyNumberFormat="1" applyFont="1" applyFill="1" applyBorder="1" applyAlignment="1">
      <x:alignment horizontal="center" vertical="center"/>
    </x:xf>
    <x:xf numFmtId="0" fontId="7" fillId="0" borderId="34" xfId="0" applyFont="1" applyBorder="1" applyAlignment="1">
      <x:alignment horizontal="center" vertical="center"/>
    </x:xf>
    <x:xf numFmtId="0" fontId="7" fillId="0" borderId="9" xfId="0" applyFont="1" applyBorder="1" applyAlignment="1">
      <x:alignment horizontal="center" vertical="center"/>
    </x:xf>
    <x:xf numFmtId="0" fontId="7" fillId="0" borderId="6" xfId="0" applyFont="1" applyBorder="1" applyAlignment="1">
      <x:alignment horizontal="center" vertical="center"/>
    </x:xf>
    <x:xf numFmtId="0" fontId="7" fillId="0" borderId="79" xfId="0" applyFont="1" applyBorder="1" applyAlignment="1">
      <x:alignment horizontal="center" vertical="center"/>
    </x:xf>
    <x:xf numFmtId="0" fontId="7" fillId="0" borderId="69" xfId="0" applyFont="1" applyBorder="1" applyAlignment="1">
      <x:alignment horizontal="center" vertical="center"/>
    </x:xf>
    <x:xf numFmtId="0" fontId="7" fillId="0" borderId="80" xfId="0" applyFont="1" applyBorder="1" applyAlignment="1">
      <x:alignment horizontal="center" vertical="center"/>
    </x:xf>
    <x:xf numFmtId="0" fontId="7" fillId="0" borderId="122" xfId="0" applyFont="1" applyBorder="1" applyAlignment="1">
      <x:alignment horizontal="center" vertical="center"/>
    </x:xf>
    <x:xf numFmtId="1" fontId="6" fillId="0" borderId="34" xfId="0" applyNumberFormat="1" applyFont="1" applyBorder="1" applyAlignment="1">
      <x:alignment horizontal="center" vertical="center" wrapText="1"/>
    </x:xf>
    <x:xf numFmtId="1" fontId="6" fillId="0" borderId="9" xfId="0" applyNumberFormat="1" applyFont="1" applyBorder="1" applyAlignment="1">
      <x:alignment horizontal="center" vertical="center" wrapText="1"/>
    </x:xf>
    <x:xf numFmtId="1" fontId="6" fillId="0" borderId="6" xfId="0" applyNumberFormat="1" applyFont="1" applyBorder="1" applyAlignment="1">
      <x:alignment horizontal="center" vertical="center" wrapText="1"/>
    </x:xf>
    <x:xf numFmtId="1" fontId="6" fillId="0" borderId="39" xfId="0" applyNumberFormat="1" applyFont="1" applyBorder="1" applyAlignment="1">
      <x:alignment horizontal="center" vertical="center" wrapText="1"/>
    </x:xf>
    <x:xf numFmtId="49" fontId="7" fillId="0" borderId="101" xfId="0" applyNumberFormat="1" applyFont="1" applyBorder="1" applyAlignment="1">
      <x:alignment horizontal="center" vertical="center"/>
    </x:xf>
    <x:xf numFmtId="49" fontId="7" fillId="0" borderId="3" xfId="0" applyNumberFormat="1" applyFont="1" applyBorder="1" applyAlignment="1">
      <x:alignment horizontal="center" vertical="center"/>
    </x:xf>
    <x:xf numFmtId="49" fontId="7" fillId="0" borderId="103" xfId="0" applyNumberFormat="1" applyFont="1" applyBorder="1" applyAlignment="1">
      <x:alignment horizontal="center" vertical="center"/>
    </x:xf>
    <x:xf numFmtId="49" fontId="7" fillId="0" borderId="26" xfId="0" applyNumberFormat="1" applyFont="1" applyBorder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0" fontId="26" fillId="0" borderId="139" xfId="0" applyFont="1" applyBorder="1" applyAlignment="1">
      <x:alignment horizontal="center" vertical="center"/>
    </x:xf>
    <x:xf numFmtId="0" fontId="26" fillId="0" borderId="140" xfId="0" applyFont="1" applyBorder="1" applyAlignment="1">
      <x:alignment horizontal="center" vertical="center"/>
    </x:xf>
    <x:xf numFmtId="0" fontId="26" fillId="0" borderId="141" xfId="0" applyFont="1" applyBorder="1" applyAlignment="1">
      <x:alignment horizontal="center" vertical="center"/>
    </x:xf>
    <x:xf numFmtId="49" fontId="8" fillId="0" borderId="139" xfId="0" applyNumberFormat="1" applyFont="1" applyBorder="1" applyAlignment="1">
      <x:alignment horizontal="center" vertical="center"/>
    </x:xf>
    <x:xf numFmtId="49" fontId="8" fillId="0" borderId="140" xfId="0" applyNumberFormat="1" applyFont="1" applyBorder="1" applyAlignment="1">
      <x:alignment horizontal="center" vertical="center"/>
    </x:xf>
    <x:xf numFmtId="49" fontId="8" fillId="0" borderId="141" xfId="0" applyNumberFormat="1" applyFont="1" applyBorder="1" applyAlignment="1">
      <x:alignment horizontal="center" vertical="center"/>
    </x:xf>
    <x:xf numFmtId="0" fontId="31" fillId="2" borderId="142" xfId="0" applyFont="1" applyFill="1" applyBorder="1" applyAlignment="1">
      <x:alignment horizontal="center" vertical="center"/>
    </x:xf>
    <x:xf numFmtId="0" fontId="25" fillId="2" borderId="10" xfId="0" applyFont="1" applyFill="1" applyBorder="1" applyAlignment="1">
      <x:alignment horizontal="center" vertical="center"/>
    </x:xf>
    <x:xf numFmtId="0" fontId="25" fillId="2" borderId="143" xfId="0" applyFont="1" applyFill="1" applyBorder="1" applyAlignment="1">
      <x:alignment horizontal="center" vertical="center"/>
    </x:xf>
    <x:xf numFmtId="0" fontId="25" fillId="2" borderId="58" xfId="0" applyFont="1" applyFill="1" applyBorder="1" applyAlignment="1">
      <x:alignment horizontal="center" vertical="center"/>
    </x:xf>
    <x:xf numFmtId="0" fontId="25" fillId="2" borderId="71" xfId="0" applyFont="1" applyFill="1" applyBorder="1" applyAlignment="1">
      <x:alignment horizontal="center" vertical="center"/>
    </x:xf>
    <x:xf numFmtId="0" fontId="25" fillId="2" borderId="36" xfId="0" applyFont="1" applyFill="1" applyBorder="1" applyAlignment="1">
      <x:alignment horizontal="center" vertical="center"/>
    </x:xf>
    <x:xf numFmtId="49" fontId="6" fillId="0" borderId="34" xfId="0" applyNumberFormat="1" applyFont="1" applyBorder="1" applyAlignment="1">
      <x:alignment horizontal="center" vertical="center"/>
    </x:xf>
    <x:xf numFmtId="49" fontId="6" fillId="0" borderId="9" xfId="0" applyNumberFormat="1" applyFont="1" applyBorder="1" applyAlignment="1">
      <x:alignment horizontal="center" vertical="center"/>
    </x:xf>
    <x:xf numFmtId="49" fontId="6" fillId="0" borderId="6" xfId="0" applyNumberFormat="1" applyFont="1" applyBorder="1" applyAlignment="1">
      <x:alignment horizontal="center" vertical="center"/>
    </x:xf>
    <x:xf numFmtId="49" fontId="15" fillId="0" borderId="34" xfId="0" applyNumberFormat="1" applyFont="1" applyBorder="1" applyAlignment="1">
      <x:alignment horizontal="center" vertical="center"/>
    </x:xf>
    <x:xf numFmtId="49" fontId="15" fillId="0" borderId="6" xfId="0" applyNumberFormat="1" applyFont="1" applyBorder="1" applyAlignment="1">
      <x:alignment horizontal="center" vertical="center"/>
    </x:xf>
    <x:xf numFmtId="49" fontId="9" fillId="0" borderId="34" xfId="0" applyNumberFormat="1" applyFont="1" applyBorder="1" applyAlignment="1">
      <x:alignment horizontal="center" vertical="center" wrapText="1"/>
    </x:xf>
    <x:xf numFmtId="49" fontId="9" fillId="0" borderId="6" xfId="0" applyNumberFormat="1" applyFont="1" applyBorder="1" applyAlignment="1">
      <x:alignment horizontal="center" vertical="center" wrapText="1"/>
    </x:xf>
    <x:xf numFmtId="0" fontId="0" fillId="2" borderId="68" xfId="0" applyFill="1" applyBorder="1" applyAlignment="1">
      <x:alignment horizontal="center" vertical="center"/>
    </x:xf>
    <x:xf numFmtId="0" fontId="0" fillId="2" borderId="69" xfId="0" applyFill="1" applyBorder="1" applyAlignment="1">
      <x:alignment horizontal="center" vertical="center"/>
    </x:xf>
    <x:xf numFmtId="0" fontId="0" fillId="2" borderId="80" xfId="0" applyFill="1" applyBorder="1" applyAlignment="1">
      <x:alignment horizontal="center" vertical="center"/>
    </x:xf>
    <x:xf numFmtId="0" fontId="6" fillId="0" borderId="135" xfId="0" applyFont="1" applyBorder="1" applyAlignment="1">
      <x:alignment horizontal="center" vertical="center"/>
    </x:xf>
    <x:xf numFmtId="0" fontId="6" fillId="0" borderId="136" xfId="0" applyFont="1" applyBorder="1" applyAlignment="1">
      <x:alignment horizontal="center" vertical="center"/>
    </x:xf>
    <x:xf numFmtId="1" fontId="8" fillId="0" borderId="137" xfId="0" applyNumberFormat="1" applyFont="1" applyBorder="1" applyAlignment="1">
      <x:alignment horizontal="center" vertical="center"/>
    </x:xf>
    <x:xf numFmtId="1" fontId="8" fillId="0" borderId="96" xfId="0" applyNumberFormat="1" applyFont="1" applyBorder="1" applyAlignment="1">
      <x:alignment horizontal="center" vertical="center"/>
    </x:xf>
    <x:xf numFmtId="1" fontId="8" fillId="0" borderId="136" xfId="0" applyNumberFormat="1" applyFont="1" applyBorder="1" applyAlignment="1">
      <x:alignment horizontal="center" vertical="center"/>
    </x:xf>
    <x:xf numFmtId="14" fontId="8" fillId="0" borderId="137" xfId="0" applyNumberFormat="1" applyFont="1" applyBorder="1" applyAlignment="1">
      <x:alignment horizontal="center" vertical="center"/>
    </x:xf>
    <x:xf numFmtId="14" fontId="8" fillId="0" borderId="96" xfId="0" applyNumberFormat="1" applyFont="1" applyBorder="1" applyAlignment="1">
      <x:alignment horizontal="center" vertical="center"/>
    </x:xf>
    <x:xf numFmtId="14" fontId="8" fillId="0" borderId="97" xfId="0" applyNumberFormat="1" applyFont="1" applyBorder="1" applyAlignment="1">
      <x:alignment horizontal="center" vertical="center"/>
    </x:xf>
    <x:xf numFmtId="0" fontId="6" fillId="0" borderId="72" xfId="0" applyFont="1" applyBorder="1" applyAlignment="1">
      <x:alignment horizontal="center" vertical="center"/>
    </x:xf>
    <x:xf numFmtId="0" fontId="6" fillId="0" borderId="94" xfId="0" applyFont="1" applyBorder="1" applyAlignment="1">
      <x:alignment horizontal="center" vertical="center"/>
    </x:xf>
    <x:xf numFmtId="0" fontId="8" fillId="0" borderId="95" xfId="0" applyFont="1" applyBorder="1" applyAlignment="1">
      <x:alignment horizontal="center" vertical="center"/>
    </x:xf>
    <x:xf numFmtId="0" fontId="8" fillId="0" borderId="45" xfId="0" applyFont="1" applyBorder="1" applyAlignment="1">
      <x:alignment horizontal="center" vertical="center"/>
    </x:xf>
    <x:xf numFmtId="0" fontId="8" fillId="0" borderId="94" xfId="0" applyFont="1" applyBorder="1" applyAlignment="1">
      <x:alignment horizontal="center" vertical="center"/>
    </x:xf>
    <x:xf numFmtId="0" fontId="1" fillId="2" borderId="68" xfId="0" applyFont="1" applyFill="1" applyBorder="1" applyAlignment="1">
      <x:alignment horizontal="left" vertical="center"/>
    </x:xf>
    <x:xf numFmtId="0" fontId="1" fillId="2" borderId="69" xfId="0" applyFont="1" applyFill="1" applyBorder="1" applyAlignment="1">
      <x:alignment horizontal="left" vertical="center"/>
    </x:xf>
    <x:xf numFmtId="168" fontId="7" fillId="2" borderId="79" xfId="0" applyNumberFormat="1" applyFont="1" applyFill="1" applyBorder="1" applyAlignment="1">
      <x:alignment horizontal="center" vertical="center"/>
    </x:xf>
    <x:xf numFmtId="168" fontId="7" fillId="2" borderId="69" xfId="0" applyNumberFormat="1" applyFont="1" applyFill="1" applyBorder="1" applyAlignment="1">
      <x:alignment horizontal="center" vertical="center"/>
    </x:xf>
    <x:xf numFmtId="168" fontId="7" fillId="2" borderId="80" xfId="0" applyNumberFormat="1" applyFont="1" applyFill="1" applyBorder="1" applyAlignment="1">
      <x:alignment horizontal="center" vertical="center"/>
    </x:xf>
    <x:xf numFmtId="0" fontId="1" fillId="2" borderId="40" xfId="0" applyFont="1" applyFill="1" applyBorder="1" applyAlignment="1">
      <x:alignment horizontal="left" vertical="center"/>
    </x:xf>
    <x:xf numFmtId="0" fontId="1" fillId="2" borderId="41" xfId="0" applyFont="1" applyFill="1" applyBorder="1" applyAlignment="1">
      <x:alignment horizontal="left" vertical="center"/>
    </x:xf>
    <x:xf numFmtId="0" fontId="8" fillId="0" borderId="73" xfId="0" applyFont="1" applyBorder="1" applyAlignment="1">
      <x:alignment horizontal="center" vertical="center"/>
    </x:xf>
    <x:xf numFmtId="0" fontId="7" fillId="0" borderId="68" xfId="0" applyFont="1" applyBorder="1" applyAlignment="1">
      <x:alignment horizontal="left" vertical="center"/>
    </x:xf>
    <x:xf numFmtId="0" fontId="7" fillId="0" borderId="69" xfId="0" applyFont="1" applyBorder="1" applyAlignment="1">
      <x:alignment horizontal="left" vertical="center"/>
    </x:xf>
    <x:xf numFmtId="0" fontId="7" fillId="0" borderId="70" xfId="0" applyFont="1" applyBorder="1" applyAlignment="1">
      <x:alignment horizontal="left" vertical="center"/>
    </x:xf>
    <x:xf numFmtId="0" fontId="15" fillId="2" borderId="10" xfId="0" applyFont="1" applyFill="1" applyBorder="1" applyAlignment="1">
      <x:alignment horizontal="left" vertical="center"/>
    </x:xf>
    <x:xf numFmtId="0" fontId="7" fillId="2" borderId="10" xfId="0" applyFont="1" applyFill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 wrapText="1"/>
    </x:xf>
    <x:xf numFmtId="0" fontId="7" fillId="0" borderId="64" xfId="0" applyFont="1" applyBorder="1" applyAlignment="1">
      <x:alignment horizontal="center" vertical="center" wrapText="1"/>
    </x:xf>
    <x:xf numFmtId="0" fontId="7" fillId="0" borderId="66" xfId="0" applyFont="1" applyBorder="1" applyAlignment="1">
      <x:alignment horizontal="center" vertical="center" wrapText="1"/>
    </x:xf>
    <x:xf numFmtId="0" fontId="1" fillId="0" borderId="87" xfId="0" applyFont="1" applyBorder="1" applyAlignment="1">
      <x:alignment horizontal="left" vertical="center" wrapText="1"/>
    </x:xf>
    <x:xf numFmtId="0" fontId="1" fillId="0" borderId="88" xfId="0" applyFont="1" applyBorder="1" applyAlignment="1">
      <x:alignment horizontal="left" vertical="center" wrapText="1"/>
    </x:xf>
    <x:xf numFmtId="0" fontId="1" fillId="0" borderId="34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0" fontId="1" fillId="0" borderId="67" xfId="0" applyFont="1" applyBorder="1" applyAlignment="1">
      <x:alignment horizontal="left" vertical="center" wrapText="1"/>
    </x:xf>
    <x:xf numFmtId="0" fontId="1" fillId="0" borderId="32" xfId="0" applyFont="1" applyBorder="1" applyAlignment="1">
      <x:alignment horizontal="left" vertical="center" wrapText="1"/>
    </x:xf>
    <x:xf numFmtId="0" fontId="1" fillId="0" borderId="60" xfId="0" applyFont="1" applyBorder="1" applyAlignment="1">
      <x:alignment horizontal="left" vertical="center" wrapText="1"/>
    </x:xf>
    <x:xf numFmtId="0" fontId="1" fillId="0" borderId="86" xfId="0" applyFont="1" applyBorder="1" applyAlignment="1">
      <x:alignment horizontal="left" vertical="center" wrapText="1"/>
    </x:xf>
    <x:xf numFmtId="0" fontId="7" fillId="0" borderId="89" xfId="0" applyFont="1" applyBorder="1" applyAlignment="1">
      <x:alignment horizontal="center" vertical="center" wrapText="1"/>
    </x:xf>
    <x:xf numFmtId="0" fontId="1" fillId="0" borderId="34" xfId="0" applyFont="1" applyBorder="1" applyAlignment="1">
      <x:alignment horizontal="left" vertical="center" wrapText="1"/>
    </x:xf>
    <x:xf numFmtId="0" fontId="1" fillId="0" borderId="6" xfId="0" applyFont="1" applyBorder="1" applyAlignment="1">
      <x:alignment horizontal="left" vertical="center" wrapText="1"/>
    </x:xf>
    <x:xf numFmtId="1" fontId="7" fillId="2" borderId="59" xfId="0" applyNumberFormat="1" applyFont="1" applyFill="1" applyBorder="1" applyAlignment="1">
      <x:alignment horizontal="left" vertical="center"/>
    </x:xf>
    <x:xf numFmtId="1" fontId="7" fillId="2" borderId="14" xfId="0" applyNumberFormat="1" applyFont="1" applyFill="1" applyBorder="1" applyAlignment="1">
      <x:alignment horizontal="left" vertical="center"/>
    </x:xf>
    <x:xf numFmtId="0" fontId="7" fillId="2" borderId="57" xfId="0" applyFont="1" applyFill="1" applyBorder="1" applyAlignment="1">
      <x:alignment horizontal="left" vertical="center"/>
    </x:xf>
    <x:xf numFmtId="0" fontId="7" fillId="2" borderId="11" xfId="0" applyFont="1" applyFill="1" applyBorder="1" applyAlignment="1">
      <x:alignment horizontal="left" vertical="center"/>
    </x:xf>
    <x:xf numFmtId="0" fontId="0" fillId="0" borderId="67" xfId="0" applyBorder="1" applyAlignment="1">
      <x:alignment horizontal="center" vertical="center"/>
    </x:xf>
    <x:xf numFmtId="0" fontId="0" fillId="0" borderId="86" xfId="0" applyBorder="1" applyAlignment="1">
      <x:alignment horizontal="center" vertical="center"/>
    </x:xf>
    <x:xf numFmtId="0" fontId="1" fillId="0" borderId="52" xfId="0" applyFont="1" applyBorder="1" applyAlignment="1">
      <x:alignment horizontal="left" vertical="center" wrapText="1"/>
    </x:xf>
    <x:xf numFmtId="0" fontId="1" fillId="0" borderId="76" xfId="0" applyFont="1" applyBorder="1" applyAlignment="1">
      <x:alignment horizontal="left" vertical="center" wrapText="1"/>
    </x:xf>
    <x:xf numFmtId="0" fontId="0" fillId="2" borderId="57" xfId="0" applyFill="1" applyBorder="1" applyAlignment="1">
      <x:alignment horizontal="center" vertical="center"/>
    </x:xf>
    <x:xf numFmtId="0" fontId="0" fillId="2" borderId="58" xfId="0" applyFill="1" applyBorder="1" applyAlignment="1">
      <x:alignment horizontal="center" vertical="center"/>
    </x:xf>
    <x:xf numFmtId="0" fontId="10" fillId="2" borderId="11" xfId="0" applyFont="1" applyFill="1" applyBorder="1" applyAlignment="1">
      <x:alignment horizontal="center" vertical="center"/>
    </x:xf>
    <x:xf numFmtId="0" fontId="10" fillId="2" borderId="36" xfId="0" applyFont="1" applyFill="1" applyBorder="1" applyAlignment="1">
      <x:alignment horizontal="center" vertical="center"/>
    </x:xf>
    <x:xf numFmtId="0" fontId="1" fillId="0" borderId="84" xfId="0" applyFont="1" applyBorder="1" applyAlignment="1">
      <x:alignment horizontal="left" vertical="center" wrapText="1"/>
    </x:xf>
    <x:xf numFmtId="0" fontId="1" fillId="0" borderId="85" xfId="0" applyFont="1" applyBorder="1" applyAlignment="1">
      <x:alignment horizontal="left" vertical="center" wrapText="1"/>
    </x:xf>
    <x:xf numFmtId="1" fontId="7" fillId="2" borderId="57" xfId="0" applyNumberFormat="1" applyFont="1" applyFill="1" applyBorder="1" applyAlignment="1">
      <x:alignment horizontal="left" vertical="center"/>
    </x:xf>
    <x:xf numFmtId="1" fontId="7" fillId="2" borderId="11" xfId="0" applyNumberFormat="1" applyFont="1" applyFill="1" applyBorder="1" applyAlignment="1">
      <x:alignment horizontal="left" vertical="center"/>
    </x:xf>
    <x:xf numFmtId="1" fontId="7" fillId="2" borderId="58" xfId="0" applyNumberFormat="1" applyFont="1" applyFill="1" applyBorder="1" applyAlignment="1">
      <x:alignment horizontal="left" vertical="center"/>
    </x:xf>
    <x:xf numFmtId="1" fontId="7" fillId="2" borderId="36" xfId="0" applyNumberFormat="1" applyFont="1" applyFill="1" applyBorder="1" applyAlignment="1">
      <x:alignment horizontal="left" vertical="center"/>
    </x:xf>
    <x:xf numFmtId="0" fontId="1" fillId="0" borderId="44" xfId="0" applyFont="1" applyBorder="1" applyAlignment="1">
      <x:alignment horizontal="left" vertical="center"/>
    </x:xf>
    <x:xf numFmtId="0" fontId="1" fillId="0" borderId="73" xfId="0" applyFont="1" applyBorder="1" applyAlignment="1">
      <x:alignment horizontal="left" vertical="center"/>
    </x:xf>
    <x:xf numFmtId="1" fontId="7" fillId="2" borderId="55" xfId="0" applyNumberFormat="1" applyFont="1" applyFill="1" applyBorder="1" applyAlignment="1">
      <x:alignment horizontal="left" vertical="center"/>
    </x:xf>
    <x:xf numFmtId="1" fontId="7" fillId="2" borderId="56" xfId="0" applyNumberFormat="1" applyFont="1" applyFill="1" applyBorder="1" applyAlignment="1">
      <x:alignment horizontal="left" vertical="center"/>
    </x:xf>
    <x:xf numFmtId="0" fontId="7" fillId="0" borderId="34" xfId="0" applyFont="1" applyBorder="1" applyAlignment="1">
      <x:alignment horizontal="center" vertical="center"/>
    </x:xf>
    <x:xf numFmtId="0" fontId="7" fillId="0" borderId="6" xfId="0" applyFont="1" applyBorder="1" applyAlignment="1">
      <x:alignment horizontal="center" vertical="center"/>
    </x:xf>
    <x:xf numFmtId="0" fontId="7" fillId="0" borderId="79" xfId="0" applyFont="1" applyBorder="1" applyAlignment="1">
      <x:alignment horizontal="center" vertical="center"/>
    </x:xf>
    <x:xf numFmtId="0" fontId="7" fillId="0" borderId="80" xfId="0" applyFont="1" applyBorder="1" applyAlignment="1">
      <x:alignment horizontal="center" vertical="center"/>
    </x:xf>
    <x:xf numFmtId="0" fontId="1" fillId="0" borderId="77" xfId="0" applyFont="1" applyBorder="1" applyAlignment="1">
      <x:alignment horizontal="left" vertical="center"/>
    </x:xf>
    <x:xf numFmtId="0" fontId="1" fillId="0" borderId="78" xfId="0" applyFont="1" applyBorder="1" applyAlignment="1">
      <x:alignment horizontal="left" vertical="center"/>
    </x:xf>
    <x:xf numFmtId="1" fontId="0" fillId="0" borderId="81" xfId="0" applyNumberFormat="1" applyBorder="1" applyAlignment="1">
      <x:alignment horizontal="left" vertical="center"/>
    </x:xf>
    <x:xf numFmtId="1" fontId="0" fillId="0" borderId="82" xfId="0" applyNumberFormat="1" applyBorder="1" applyAlignment="1">
      <x:alignment horizontal="left" vertical="center"/>
    </x:xf>
    <x:xf numFmtId="1" fontId="0" fillId="0" borderId="83" xfId="0" applyNumberFormat="1" applyBorder="1" applyAlignment="1">
      <x:alignment horizontal="left" vertical="center"/>
    </x:xf>
    <x:xf numFmtId="0" fontId="1" fillId="0" borderId="52" xfId="0" applyFont="1" applyBorder="1" applyAlignment="1">
      <x:alignment horizontal="left" vertical="center"/>
    </x:xf>
    <x:xf numFmtId="0" fontId="1" fillId="0" borderId="76" xfId="0" applyFont="1" applyBorder="1" applyAlignment="1">
      <x:alignment horizontal="left" vertical="center"/>
    </x:xf>
    <x:xf numFmtId="0" fontId="6" fillId="0" borderId="52" xfId="0" applyFont="1" applyBorder="1" applyAlignment="1">
      <x:alignment horizontal="center" vertical="center"/>
    </x:xf>
    <x:xf numFmtId="0" fontId="6" fillId="0" borderId="53" xfId="0" applyFont="1" applyBorder="1" applyAlignment="1">
      <x:alignment horizontal="center" vertical="center"/>
    </x:xf>
    <x:xf numFmtId="0" fontId="6" fillId="0" borderId="54" xfId="0" applyFont="1" applyBorder="1" applyAlignment="1">
      <x:alignment horizontal="center" vertical="center"/>
    </x:xf>
    <x:xf numFmtId="0" fontId="8" fillId="0" borderId="75" xfId="0" applyFont="1" applyBorder="1" applyAlignment="1">
      <x:alignment horizontal="center" vertical="center"/>
    </x:xf>
    <x:xf numFmtId="0" fontId="8" fillId="0" borderId="53" xfId="0" applyFont="1" applyBorder="1" applyAlignment="1">
      <x:alignment horizontal="center" vertical="center"/>
    </x:xf>
    <x:xf numFmtId="0" fontId="8" fillId="0" borderId="76" xfId="0" applyFont="1" applyBorder="1" applyAlignment="1">
      <x:alignment horizontal="center" vertical="center"/>
    </x:xf>
    <x:xf numFmtId="0" fontId="8" fillId="0" borderId="52" xfId="0" applyFont="1" applyBorder="1" applyAlignment="1">
      <x:alignment horizontal="center" vertical="center"/>
    </x:xf>
    <x:xf numFmtId="0" fontId="8" fillId="0" borderId="54" xfId="0" applyFont="1" applyBorder="1" applyAlignment="1">
      <x:alignment horizontal="center" vertical="center"/>
    </x:xf>
    <x:xf numFmtId="0" fontId="0" fillId="0" borderId="74" xfId="0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0" fillId="0" borderId="23" xfId="0" applyBorder="1" applyAlignment="1">
      <x:alignment horizontal="center" vertical="center"/>
    </x:xf>
    <x:xf numFmtId="0" fontId="8" fillId="0" borderId="22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43" xfId="0" applyFont="1" applyBorder="1" applyAlignment="1">
      <x:alignment horizontal="center" vertical="center"/>
    </x:xf>
    <x:xf numFmtId="0" fontId="0" fillId="0" borderId="72" xfId="0" applyBorder="1" applyAlignment="1">
      <x:alignment horizontal="center" vertical="center"/>
    </x:xf>
    <x:xf numFmtId="0" fontId="0" fillId="0" borderId="45" xfId="0" applyBorder="1" applyAlignment="1">
      <x:alignment horizontal="center" vertical="center"/>
    </x:xf>
    <x:xf numFmtId="0" fontId="0" fillId="0" borderId="73" xfId="0" applyBorder="1" applyAlignment="1">
      <x:alignment horizontal="center" vertical="center"/>
    </x:xf>
    <x:xf numFmtId="0" fontId="8" fillId="0" borderId="44" xfId="0" applyFont="1" applyBorder="1" applyAlignment="1">
      <x:alignment horizontal="center" vertical="center"/>
    </x:xf>
    <x:xf numFmtId="0" fontId="8" fillId="0" borderId="45" xfId="0" applyFont="1" applyBorder="1" applyAlignment="1">
      <x:alignment horizontal="center" vertical="center"/>
    </x:xf>
    <x:xf numFmtId="0" fontId="8" fillId="0" borderId="46" xfId="0" applyFont="1" applyBorder="1" applyAlignment="1">
      <x:alignment horizontal="center" vertical="center"/>
    </x:xf>
    <x:xf numFmtId="0" fontId="12" fillId="0" borderId="40" xfId="0" applyFont="1" applyBorder="1" applyAlignment="1">
      <x:alignment horizontal="center" vertical="center"/>
    </x:xf>
    <x:xf numFmtId="0" fontId="12" fillId="0" borderId="41" xfId="0" applyFont="1" applyBorder="1" applyAlignment="1">
      <x:alignment horizontal="center" vertical="center"/>
    </x:xf>
    <x:xf numFmtId="0" fontId="14" fillId="0" borderId="41" xfId="0" applyFont="1" applyBorder="1" applyAlignment="1">
      <x:alignment horizontal="left" vertical="center"/>
    </x:xf>
    <x:xf numFmtId="0" fontId="14" fillId="0" borderId="42" xfId="0" applyFont="1" applyBorder="1" applyAlignment="1">
      <x:alignment horizontal="left" vertical="center"/>
    </x:xf>
    <x:xf numFmtId="0" fontId="7" fillId="0" borderId="13" xfId="0" applyFont="1" applyBorder="1" applyAlignment="1">
      <x:alignment horizontal="center" vertical="center"/>
    </x:xf>
    <x:xf numFmtId="0" fontId="7" fillId="0" borderId="9" xfId="0" applyFont="1" applyBorder="1" applyAlignment="1">
      <x:alignment horizontal="center" vertical="center"/>
    </x:xf>
    <x:xf numFmtId="0" fontId="7" fillId="0" borderId="39" xfId="0" applyFont="1" applyBorder="1" applyAlignment="1">
      <x:alignment horizontal="center" vertical="center"/>
    </x:xf>
    <x:xf numFmtId="0" fontId="0" fillId="0" borderId="13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0" fillId="0" borderId="34" xfId="0" applyBorder="1" applyAlignment="1">
      <x:alignment horizontal="center" vertical="center"/>
    </x:xf>
    <x:xf numFmtId="0" fontId="0" fillId="0" borderId="39" xfId="0" applyBorder="1" applyAlignment="1">
      <x:alignment horizontal="center" vertical="center"/>
    </x:xf>
    <x:xf numFmtId="165" fontId="17" fillId="2" borderId="79" xfId="0" applyNumberFormat="1" applyFont="1" applyFill="1" applyBorder="1" applyAlignment="1">
      <x:alignment horizontal="center" vertical="center"/>
    </x:xf>
    <x:xf numFmtId="0" fontId="0" fillId="0" borderId="144" xfId="0" applyNumberFormat="1" applyFont="1" applyFill="1" applyBorder="1"/>
    <x:xf numFmtId="1" fontId="7" fillId="0" borderId="145" xfId="0" applyNumberFormat="1" applyFont="1" applyFill="1" applyBorder="1" applyAlignment="1">
      <x:alignment horizontal="center" vertical="center"/>
    </x:xf>
    <x:xf numFmtId="0" fontId="0" fillId="2" borderId="144" xfId="0" applyNumberFormat="1" applyFont="1" applyFill="1" applyBorder="1"/>
    <x:xf numFmtId="0" fontId="7" fillId="0" borderId="146" xfId="0" applyNumberFormat="1" applyFont="1" applyFill="1" applyBorder="1" applyAlignment="1">
      <x:alignment horizontal="center" vertical="center"/>
    </x:xf>
    <x:xf numFmtId="0" fontId="7" fillId="0" borderId="147" xfId="0" applyNumberFormat="1" applyFont="1" applyFill="1" applyBorder="1" applyAlignment="1">
      <x:alignment horizontal="center" vertical="center"/>
    </x:xf>
    <x:xf numFmtId="0" fontId="7" fillId="0" borderId="145" xfId="0" applyNumberFormat="1" applyFont="1" applyFill="1" applyBorder="1" applyAlignment="1">
      <x:alignment horizontal="center" vertical="center"/>
    </x:xf>
    <x:xf numFmtId="0" fontId="0" fillId="0" borderId="148" xfId="0" applyNumberFormat="1" applyFont="1" applyFill="1" applyBorder="1" applyAlignment="1">
      <x:alignment horizontal="center" vertical="center"/>
    </x:xf>
    <x:xf numFmtId="0" fontId="7" fillId="0" borderId="149" xfId="0" applyNumberFormat="1" applyFont="1" applyFill="1" applyBorder="1" applyAlignment="1">
      <x:alignment horizontal="center" vertical="center"/>
    </x:xf>
    <x:xf numFmtId="0" fontId="15" fillId="0" borderId="149" xfId="0" applyNumberFormat="1" applyFont="1" applyFill="1" applyBorder="1" applyAlignment="1">
      <x:alignment horizontal="center" vertical="center" wrapText="1"/>
    </x:xf>
    <x:xf numFmtId="0" fontId="7" fillId="0" borderId="150" xfId="0" applyNumberFormat="1" applyFont="1" applyFill="1" applyBorder="1" applyAlignment="1">
      <x:alignment horizontal="center" vertical="center" wrapText="1"/>
    </x:xf>
    <x:xf numFmtId="0" fontId="0" fillId="0" borderId="151" xfId="0" applyNumberFormat="1" applyFont="1" applyFill="1" applyBorder="1" applyAlignment="1">
      <x:alignment horizontal="center" vertical="center"/>
    </x:xf>
    <x:xf numFmtId="0" fontId="0" fillId="0" borderId="152" xfId="0" applyNumberFormat="1" applyFont="1" applyFill="1" applyBorder="1" applyAlignment="1">
      <x:alignment horizontal="center" vertical="center"/>
    </x:xf>
    <x:xf numFmtId="0" fontId="0" fillId="0" borderId="147" xfId="0" applyNumberFormat="1" applyFont="1" applyFill="1" applyBorder="1" applyAlignment="1">
      <x:alignment horizontal="center" vertical="center"/>
    </x:xf>
    <x:xf numFmtId="0" fontId="0" fillId="2" borderId="153" xfId="0" applyNumberFormat="1" applyFont="1" applyFill="1" applyBorder="1" applyAlignment="1">
      <x:alignment horizontal="left" vertical="center" wrapText="1"/>
    </x:xf>
    <x:xf numFmtId="0" fontId="0" fillId="0" borderId="154" xfId="0" applyNumberFormat="1" applyFont="1" applyFill="1" applyBorder="1" applyAlignment="1">
      <x:alignment horizontal="left" vertical="center" wrapText="1"/>
    </x:xf>
    <x:xf numFmtId="0" fontId="0" fillId="0" borderId="155" xfId="0" applyNumberFormat="1" applyFont="1" applyFill="1" applyBorder="1" applyAlignment="1">
      <x:alignment horizontal="center" vertical="center"/>
    </x:xf>
    <x:xf numFmtId="0" fontId="0" fillId="2" borderId="156" xfId="0" applyNumberFormat="1" applyFont="1" applyFill="1" applyBorder="1" applyAlignment="1">
      <x:alignment horizontal="left" vertical="center"/>
    </x:xf>
    <x:xf numFmtId="0" fontId="0" fillId="0" borderId="154" xfId="0" applyNumberFormat="1" applyFont="1" applyFill="1" applyBorder="1" applyAlignment="1">
      <x:alignment horizontal="left" vertical="center"/>
    </x:xf>
    <x:xf numFmtId="0" fontId="0" fillId="2" borderId="153" xfId="0" applyNumberFormat="1" applyFont="1" applyFill="1" applyBorder="1" applyAlignment="1">
      <x:alignment horizontal="left" vertical="center"/>
    </x:xf>
    <x:xf numFmtId="0" fontId="0" fillId="0" borderId="153" xfId="0" applyNumberFormat="1" applyFont="1" applyFill="1" applyBorder="1" applyAlignment="1">
      <x:alignment horizontal="left" vertical="center"/>
    </x:xf>
    <x:xf numFmtId="0" fontId="0" fillId="2" borderId="154" xfId="0" applyNumberFormat="1" applyFont="1" applyFill="1" applyBorder="1" applyAlignment="1">
      <x:alignment horizontal="left" vertical="center"/>
    </x:xf>
    <x:xf numFmtId="0" fontId="0" fillId="0" borderId="157" xfId="0" applyNumberFormat="1" applyFont="1" applyFill="1" applyBorder="1" applyAlignment="1">
      <x:alignment horizontal="center" vertical="center" wrapText="1"/>
    </x:xf>
    <x:xf numFmtId="0" fontId="0" fillId="2" borderId="154" xfId="0" applyNumberFormat="1" applyFont="1" applyFill="1" applyBorder="1" applyAlignment="1">
      <x:alignment horizontal="center" vertical="center" wrapText="1"/>
    </x:xf>
    <x:xf numFmtId="0" fontId="0" fillId="0" borderId="158" xfId="0" applyNumberFormat="1" applyFont="1" applyFill="1" applyBorder="1" applyAlignment="1">
      <x:alignment horizontal="center" vertical="center"/>
    </x:xf>
    <x:xf numFmtId="0" fontId="0" fillId="2" borderId="158" xfId="0" applyNumberFormat="1" applyFont="1" applyFill="1" applyBorder="1" applyAlignment="1">
      <x:alignment horizontal="center" vertical="center"/>
    </x:xf>
    <x:xf numFmtId="0" fontId="0" fillId="0" borderId="159" xfId="0" applyNumberFormat="1" applyFont="1" applyFill="1" applyBorder="1" applyAlignment="1">
      <x:alignment horizontal="center" vertical="center"/>
    </x:xf>
    <x:xf numFmtId="0" fontId="0" fillId="0" borderId="160" xfId="0" applyNumberFormat="1" applyFont="1" applyFill="1" applyBorder="1" applyAlignment="1">
      <x:alignment horizontal="center" vertical="center"/>
    </x:xf>
    <x:xf numFmtId="0" fontId="0" fillId="0" borderId="153" xfId="0" applyNumberFormat="1" applyFont="1" applyFill="1" applyBorder="1" applyAlignment="1">
      <x:alignment horizontal="center" vertical="center"/>
    </x:xf>
    <x:xf numFmtId="0" fontId="0" fillId="0" borderId="161" xfId="0" applyNumberFormat="1" applyFont="1" applyFill="1" applyBorder="1" applyAlignment="1">
      <x:alignment horizontal="center" vertical="center"/>
    </x:xf>
    <x:xf numFmtId="0" fontId="4" fillId="0" borderId="162" xfId="0" applyNumberFormat="1" applyFont="1" applyFill="1" applyBorder="1" applyAlignment="1">
      <x:alignment horizontal="left" vertical="center" wrapText="1"/>
    </x:xf>
    <x:xf numFmtId="0" fontId="0" fillId="0" borderId="162" xfId="0" applyNumberFormat="1" applyFont="1" applyFill="1" applyBorder="1" applyAlignment="1">
      <x:alignment horizontal="center" vertical="center"/>
    </x:xf>
    <x:xf numFmtId="0" fontId="0" fillId="0" borderId="163" xfId="0" applyNumberFormat="1" applyFont="1" applyFill="1" applyBorder="1" applyAlignment="1">
      <x:alignment horizontal="center" vertical="center"/>
    </x:xf>
    <x:xf numFmtId="0" fontId="4" fillId="0" borderId="152" xfId="0" applyNumberFormat="1" applyFont="1" applyFill="1" applyBorder="1" applyAlignment="1">
      <x:alignment horizontal="left" vertical="center" wrapText="1"/>
    </x:xf>
    <x:xf numFmtId="0" fontId="0" fillId="0" borderId="147" xfId="0" applyNumberFormat="1" applyFont="1" applyFill="1" applyBorder="1" applyAlignment="1">
      <x:alignment horizontal="left" vertical="center"/>
    </x:xf>
    <x:xf numFmtId="0" fontId="3" fillId="0" borderId="147" xfId="0" applyNumberFormat="1" applyFont="1" applyFill="1" applyBorder="1" applyAlignment="1">
      <x:alignment horizontal="left" vertical="center" wrapText="1"/>
    </x:xf>
    <x:xf numFmtId="0" fontId="0" fillId="0" borderId="164" xfId="0" applyNumberFormat="1" applyFont="1" applyFill="1" applyBorder="1" applyAlignment="1">
      <x:alignment horizontal="center" vertical="center"/>
    </x:xf>
    <x:xf numFmtId="0" fontId="0" fillId="0" borderId="165" xfId="0" applyNumberFormat="1" applyFont="1" applyFill="1" applyBorder="1" applyAlignment="1">
      <x:alignment horizontal="left" vertical="center" wrapText="1"/>
    </x:xf>
    <x:xf numFmtId="0" fontId="0" fillId="0" borderId="165" xfId="0" applyNumberFormat="1" applyFont="1" applyFill="1" applyBorder="1" applyAlignment="1">
      <x:alignment horizontal="center" vertical="center"/>
    </x:xf>
    <x:xf numFmtId="14" fontId="8" fillId="2" borderId="159" xfId="0" applyNumberFormat="1" applyFont="1" applyFill="1" applyBorder="1" applyAlignment="1">
      <x:alignment horizontal="center" vertical="center"/>
    </x:xf>
    <x:xf numFmtId="1" fontId="7" fillId="0" borderId="147" xfId="0" applyNumberFormat="1" applyFont="1" applyFill="1" applyBorder="1" applyAlignment="1">
      <x:alignment horizontal="center" vertical="center"/>
    </x:xf>
    <x:xf numFmtId="1" fontId="7" fillId="0" borderId="154" xfId="0" applyNumberFormat="1" applyFont="1" applyFill="1" applyBorder="1" applyAlignment="1">
      <x:alignment horizontal="center" vertical="center"/>
    </x:xf>
    <x:xf numFmtId="1" fontId="7" fillId="0" borderId="166" xfId="0" applyNumberFormat="1" applyFont="1" applyFill="1" applyBorder="1" applyAlignment="1">
      <x:alignment horizontal="center" vertical="center"/>
    </x:xf>
    <x:xf numFmtId="1" fontId="7" fillId="0" borderId="151" xfId="0" applyNumberFormat="1" applyFont="1" applyFill="1" applyBorder="1" applyAlignment="1">
      <x:alignment horizontal="center" vertical="center"/>
    </x:xf>
    <x:xf numFmtId="1" fontId="7" fillId="0" borderId="167" xfId="0" applyNumberFormat="1" applyFont="1" applyFill="1" applyBorder="1" applyAlignment="1">
      <x:alignment horizontal="center" vertical="center"/>
    </x:xf>
    <x:xf numFmtId="1" fontId="7" fillId="0" borderId="163" xfId="0" applyNumberFormat="1" applyFont="1" applyFill="1" applyBorder="1" applyAlignment="1">
      <x:alignment horizontal="center" vertical="center"/>
    </x:xf>
    <x:xf numFmtId="1" fontId="7" fillId="0" borderId="152" xfId="0" applyNumberFormat="1" applyFont="1" applyFill="1" applyBorder="1" applyAlignment="1">
      <x:alignment horizontal="center" vertical="center"/>
    </x:xf>
    <x:xf numFmtId="1" fontId="7" fillId="0" borderId="153" xfId="0" applyNumberFormat="1" applyFont="1" applyFill="1" applyBorder="1" applyAlignment="1">
      <x:alignment horizontal="center" vertical="center"/>
    </x:xf>
    <x:xf numFmtId="1" fontId="7" fillId="0" borderId="145" xfId="0" applyNumberFormat="1" applyFont="1" applyFill="1" applyBorder="1" applyAlignment="1">
      <x:alignment horizontal="right" vertical="center"/>
    </x:xf>
    <x:xf numFmtId="0" fontId="6" fillId="0" borderId="168" xfId="0" applyNumberFormat="1" applyFont="1" applyFill="1" applyBorder="1" applyAlignment="1">
      <x:alignment horizontal="center" vertical="center"/>
    </x:xf>
    <x:xf numFmtId="0" fontId="9" fillId="0" borderId="146" xfId="0" applyNumberFormat="1" applyFont="1" applyFill="1" applyBorder="1" applyAlignment="1">
      <x:alignment horizontal="center" vertical="center" wrapText="1"/>
    </x:xf>
    <x:xf numFmtId="49" fontId="15" fillId="0" borderId="156" xfId="0" applyNumberFormat="1" applyFont="1" applyFill="1" applyBorder="1" applyAlignment="1">
      <x:alignment horizontal="center" vertical="center"/>
    </x:xf>
    <x:xf numFmtId="49" fontId="9" fillId="0" borderId="147" xfId="0" applyNumberFormat="1" applyFont="1" applyFill="1" applyBorder="1" applyAlignment="1">
      <x:alignment horizontal="center" vertical="center" wrapText="1"/>
    </x:xf>
    <x:xf numFmtId="49" fontId="27" fillId="0" borderId="147" xfId="0" applyNumberFormat="1" applyFont="1" applyFill="1" applyBorder="1" applyAlignment="1">
      <x:alignment horizontal="center" vertical="center" wrapText="1"/>
    </x:xf>
    <x:xf numFmtId="0" fontId="6" fillId="0" borderId="169" xfId="0" applyNumberFormat="1" applyFont="1" applyFill="1" applyBorder="1" applyAlignment="1">
      <x:alignment horizontal="center" vertical="center"/>
    </x:xf>
    <x:xf numFmtId="167" fontId="20" fillId="0" borderId="170" xfId="0" applyNumberFormat="1" applyFont="1" applyFill="1" applyBorder="1" applyAlignment="1">
      <x:alignment horizontal="center" vertical="center"/>
    </x:xf>
    <x:xf numFmtId="167" fontId="20" fillId="0" borderId="171" xfId="0" applyNumberFormat="1" applyFont="1" applyFill="1" applyBorder="1" applyAlignment="1">
      <x:alignment horizontal="center" vertical="center"/>
    </x:xf>
    <x:xf numFmtId="166" fontId="20" fillId="0" borderId="171" xfId="0" applyNumberFormat="1" applyFont="1" applyFill="1" applyBorder="1" applyAlignment="1">
      <x:alignment horizontal="center" vertical="center"/>
    </x:xf>
    <x:xf numFmtId="164" fontId="20" fillId="0" borderId="171" xfId="0" applyNumberFormat="1" applyFont="1" applyFill="1" applyBorder="1" applyAlignment="1">
      <x:alignment horizontal="center" vertical="center"/>
    </x:xf>
    <x:xf numFmtId="1" fontId="20" fillId="0" borderId="172" xfId="0" applyNumberFormat="1" applyFont="1" applyFill="1" applyBorder="1" applyAlignment="1">
      <x:alignment horizontal="center" vertical="center"/>
    </x:xf>
    <x:xf numFmtId="1" fontId="23" fillId="0" borderId="173" xfId="0" applyNumberFormat="1" applyFont="1" applyFill="1" applyBorder="1" applyAlignment="1">
      <x:alignment horizontal="center" vertical="center"/>
    </x:xf>
    <x:xf numFmtId="1" fontId="20" fillId="0" borderId="170" xfId="0" applyNumberFormat="1" applyFont="1" applyFill="1" applyBorder="1" applyAlignment="1">
      <x:alignment horizontal="center" vertical="center"/>
    </x:xf>
    <x:xf numFmtId="165" fontId="20" fillId="0" borderId="174" xfId="0" applyNumberFormat="1" applyFont="1" applyFill="1" applyBorder="1" applyAlignment="1">
      <x:alignment horizontal="center" vertical="center"/>
    </x:xf>
    <x:xf numFmtId="1" fontId="20" fillId="0" borderId="174" xfId="0" applyNumberFormat="1" applyFont="1" applyFill="1" applyBorder="1" applyAlignment="1">
      <x:alignment horizontal="center" vertical="center"/>
    </x:xf>
    <x:xf numFmtId="1" fontId="8" fillId="0" borderId="174" xfId="0" applyNumberFormat="1" applyFont="1" applyFill="1" applyBorder="1" applyAlignment="1">
      <x:alignment horizontal="center" vertical="center"/>
    </x:xf>
    <x:xf numFmtId="0" fontId="2" fillId="0" borderId="174" xfId="0" applyNumberFormat="1" applyFont="1" applyFill="1" applyBorder="1" applyAlignment="1">
      <x:alignment horizontal="center" vertical="center"/>
    </x:xf>
    <x:xf numFmtId="0" fontId="8" fillId="0" borderId="170" xfId="0" applyNumberFormat="1" applyFont="1" applyFill="1" applyBorder="1" applyAlignment="1">
      <x:alignment horizontal="center" vertical="center"/>
    </x:xf>
    <x:xf numFmtId="0" fontId="8" fillId="0" borderId="175" xfId="0" applyNumberFormat="1" applyFont="1" applyFill="1" applyBorder="1" applyAlignment="1">
      <x:alignment horizontal="center" vertical="center"/>
    </x:xf>
    <x:xf numFmtId="0" fontId="8" fillId="0" borderId="174" xfId="0" applyNumberFormat="1" applyFont="1" applyFill="1" applyBorder="1" applyAlignment="1">
      <x:alignment horizontal="center" vertical="center"/>
    </x:xf>
    <x:xf numFmtId="0" fontId="6" fillId="0" borderId="176" xfId="0" applyNumberFormat="1" applyFont="1" applyFill="1" applyBorder="1" applyAlignment="1">
      <x:alignment horizontal="center" vertical="center"/>
    </x:xf>
    <x:xf numFmtId="167" fontId="20" fillId="0" borderId="177" xfId="0" applyNumberFormat="1" applyFont="1" applyFill="1" applyBorder="1" applyAlignment="1">
      <x:alignment horizontal="center" vertical="center"/>
    </x:xf>
    <x:xf numFmtId="167" fontId="20" fillId="0" borderId="178" xfId="0" applyNumberFormat="1" applyFont="1" applyFill="1" applyBorder="1" applyAlignment="1">
      <x:alignment horizontal="center" vertical="center"/>
    </x:xf>
    <x:xf numFmtId="166" fontId="20" fillId="0" borderId="178" xfId="0" applyNumberFormat="1" applyFont="1" applyFill="1" applyBorder="1" applyAlignment="1">
      <x:alignment horizontal="center" vertical="center"/>
    </x:xf>
    <x:xf numFmtId="164" fontId="20" fillId="0" borderId="178" xfId="0" applyNumberFormat="1" applyFont="1" applyFill="1" applyBorder="1" applyAlignment="1">
      <x:alignment horizontal="center" vertical="center"/>
    </x:xf>
    <x:xf numFmtId="1" fontId="20" fillId="0" borderId="179" xfId="0" applyNumberFormat="1" applyFont="1" applyFill="1" applyBorder="1" applyAlignment="1">
      <x:alignment horizontal="center" vertical="center"/>
    </x:xf>
    <x:xf numFmtId="1" fontId="23" fillId="0" borderId="180" xfId="0" applyNumberFormat="1" applyFont="1" applyFill="1" applyBorder="1" applyAlignment="1">
      <x:alignment horizontal="center" vertical="center"/>
    </x:xf>
    <x:xf numFmtId="1" fontId="20" fillId="0" borderId="177" xfId="0" applyNumberFormat="1" applyFont="1" applyFill="1" applyBorder="1" applyAlignment="1">
      <x:alignment horizontal="center" vertical="center"/>
    </x:xf>
    <x:xf numFmtId="165" fontId="20" fillId="0" borderId="181" xfId="0" applyNumberFormat="1" applyFont="1" applyFill="1" applyBorder="1" applyAlignment="1">
      <x:alignment horizontal="center" vertical="center"/>
    </x:xf>
    <x:xf numFmtId="1" fontId="20" fillId="0" borderId="181" xfId="0" applyNumberFormat="1" applyFont="1" applyFill="1" applyBorder="1" applyAlignment="1">
      <x:alignment horizontal="center" vertical="center"/>
    </x:xf>
    <x:xf numFmtId="1" fontId="8" fillId="0" borderId="181" xfId="0" applyNumberFormat="1" applyFont="1" applyFill="1" applyBorder="1" applyAlignment="1">
      <x:alignment horizontal="center" vertical="center"/>
    </x:xf>
    <x:xf numFmtId="0" fontId="2" fillId="0" borderId="181" xfId="0" applyNumberFormat="1" applyFont="1" applyFill="1" applyBorder="1" applyAlignment="1">
      <x:alignment horizontal="center" vertical="center"/>
    </x:xf>
    <x:xf numFmtId="1" fontId="2" fillId="0" borderId="181" xfId="0" applyNumberFormat="1" applyFont="1" applyFill="1" applyBorder="1" applyAlignment="1">
      <x:alignment horizontal="center" vertical="center"/>
    </x:xf>
    <x:xf numFmtId="1" fontId="8" fillId="0" borderId="177" xfId="0" applyNumberFormat="1" applyFont="1" applyFill="1" applyBorder="1" applyAlignment="1">
      <x:alignment horizontal="center" vertical="center"/>
    </x:xf>
    <x:xf numFmtId="1" fontId="8" fillId="0" borderId="182" xfId="0" applyNumberFormat="1" applyFont="1" applyFill="1" applyBorder="1" applyAlignment="1">
      <x:alignment horizontal="center" vertical="center"/>
    </x:xf>
    <x:xf numFmtId="0" fontId="6" fillId="0" borderId="183" xfId="0" applyNumberFormat="1" applyFont="1" applyFill="1" applyBorder="1" applyAlignment="1">
      <x:alignment horizontal="center" vertical="center"/>
    </x:xf>
    <x:xf numFmtId="167" fontId="20" fillId="0" borderId="184" xfId="0" applyNumberFormat="1" applyFont="1" applyFill="1" applyBorder="1" applyAlignment="1">
      <x:alignment horizontal="center" vertical="center"/>
    </x:xf>
    <x:xf numFmtId="167" fontId="20" fillId="0" borderId="185" xfId="0" applyNumberFormat="1" applyFont="1" applyFill="1" applyBorder="1" applyAlignment="1">
      <x:alignment horizontal="center" vertical="center"/>
    </x:xf>
    <x:xf numFmtId="166" fontId="20" fillId="0" borderId="185" xfId="0" applyNumberFormat="1" applyFont="1" applyFill="1" applyBorder="1" applyAlignment="1">
      <x:alignment horizontal="center" vertical="center"/>
    </x:xf>
    <x:xf numFmtId="164" fontId="20" fillId="0" borderId="185" xfId="0" applyNumberFormat="1" applyFont="1" applyFill="1" applyBorder="1" applyAlignment="1">
      <x:alignment horizontal="center" vertical="center"/>
    </x:xf>
    <x:xf numFmtId="1" fontId="20" fillId="0" borderId="186" xfId="0" applyNumberFormat="1" applyFont="1" applyFill="1" applyBorder="1" applyAlignment="1">
      <x:alignment horizontal="center" vertical="center"/>
    </x:xf>
    <x:xf numFmtId="1" fontId="23" fillId="0" borderId="187" xfId="0" applyNumberFormat="1" applyFont="1" applyFill="1" applyBorder="1" applyAlignment="1">
      <x:alignment horizontal="center" vertical="center"/>
    </x:xf>
    <x:xf numFmtId="1" fontId="20" fillId="0" borderId="184" xfId="0" applyNumberFormat="1" applyFont="1" applyFill="1" applyBorder="1" applyAlignment="1">
      <x:alignment horizontal="center" vertical="center"/>
    </x:xf>
    <x:xf numFmtId="165" fontId="20" fillId="0" borderId="188" xfId="0" applyNumberFormat="1" applyFont="1" applyFill="1" applyBorder="1" applyAlignment="1">
      <x:alignment horizontal="center" vertical="center"/>
    </x:xf>
    <x:xf numFmtId="1" fontId="20" fillId="0" borderId="189" xfId="0" applyNumberFormat="1" applyFont="1" applyFill="1" applyBorder="1" applyAlignment="1">
      <x:alignment horizontal="center" vertical="center"/>
    </x:xf>
    <x:xf numFmtId="1" fontId="8" fillId="0" borderId="189" xfId="0" applyNumberFormat="1" applyFont="1" applyFill="1" applyBorder="1" applyAlignment="1">
      <x:alignment horizontal="center" vertical="center"/>
    </x:xf>
    <x:xf numFmtId="1" fontId="20" fillId="0" borderId="188" xfId="0" applyNumberFormat="1" applyFont="1" applyFill="1" applyBorder="1" applyAlignment="1">
      <x:alignment horizontal="center" vertical="center"/>
    </x:xf>
    <x:xf numFmtId="0" fontId="2" fillId="0" borderId="189" xfId="0" applyNumberFormat="1" applyFont="1" applyFill="1" applyBorder="1" applyAlignment="1">
      <x:alignment horizontal="center" vertical="center"/>
    </x:xf>
    <x:xf numFmtId="1" fontId="2" fillId="0" borderId="189" xfId="0" applyNumberFormat="1" applyFont="1" applyFill="1" applyBorder="1" applyAlignment="1">
      <x:alignment horizontal="center" vertical="center"/>
    </x:xf>
    <x:xf numFmtId="1" fontId="8" fillId="0" borderId="184" xfId="0" applyNumberFormat="1" applyFont="1" applyFill="1" applyBorder="1" applyAlignment="1">
      <x:alignment horizontal="center" vertical="center"/>
    </x:xf>
    <x:xf numFmtId="1" fontId="8" fillId="0" borderId="190" xfId="0" applyNumberFormat="1" applyFont="1" applyFill="1" applyBorder="1" applyAlignment="1">
      <x:alignment horizontal="center" vertical="center"/>
    </x:xf>
    <x:xf numFmtId="0" fontId="6" fillId="0" borderId="191" xfId="0" applyNumberFormat="1" applyFont="1" applyFill="1" applyBorder="1" applyAlignment="1">
      <x:alignment horizontal="center" vertical="center"/>
    </x:xf>
    <x:xf numFmtId="167" fontId="20" fillId="0" borderId="192" xfId="0" applyNumberFormat="1" applyFont="1" applyFill="1" applyBorder="1" applyAlignment="1">
      <x:alignment horizontal="center" vertical="center"/>
    </x:xf>
    <x:xf numFmtId="167" fontId="20" fillId="0" borderId="193" xfId="0" applyNumberFormat="1" applyFont="1" applyFill="1" applyBorder="1" applyAlignment="1">
      <x:alignment horizontal="center" vertical="center"/>
    </x:xf>
    <x:xf numFmtId="166" fontId="20" fillId="0" borderId="193" xfId="0" applyNumberFormat="1" applyFont="1" applyFill="1" applyBorder="1" applyAlignment="1">
      <x:alignment horizontal="center" vertical="center"/>
    </x:xf>
    <x:xf numFmtId="164" fontId="20" fillId="0" borderId="193" xfId="0" applyNumberFormat="1" applyFont="1" applyFill="1" applyBorder="1" applyAlignment="1">
      <x:alignment horizontal="center" vertical="center"/>
    </x:xf>
    <x:xf numFmtId="1" fontId="20" fillId="0" borderId="194" xfId="0" applyNumberFormat="1" applyFont="1" applyFill="1" applyBorder="1" applyAlignment="1">
      <x:alignment horizontal="center" vertical="center"/>
    </x:xf>
    <x:xf numFmtId="1" fontId="23" fillId="0" borderId="195" xfId="0" applyNumberFormat="1" applyFont="1" applyFill="1" applyBorder="1" applyAlignment="1">
      <x:alignment horizontal="center" vertical="center"/>
    </x:xf>
    <x:xf numFmtId="1" fontId="20" fillId="0" borderId="192" xfId="0" applyNumberFormat="1" applyFont="1" applyFill="1" applyBorder="1" applyAlignment="1">
      <x:alignment horizontal="center" vertical="center"/>
    </x:xf>
    <x:xf numFmtId="165" fontId="20" fillId="0" borderId="196" xfId="0" applyNumberFormat="1" applyFont="1" applyFill="1" applyBorder="1" applyAlignment="1">
      <x:alignment horizontal="center" vertical="center"/>
    </x:xf>
    <x:xf numFmtId="1" fontId="20" fillId="0" borderId="196" xfId="0" applyNumberFormat="1" applyFont="1" applyFill="1" applyBorder="1" applyAlignment="1">
      <x:alignment horizontal="center" vertical="center"/>
    </x:xf>
    <x:xf numFmtId="1" fontId="8" fillId="0" borderId="196" xfId="0" applyNumberFormat="1" applyFont="1" applyFill="1" applyBorder="1" applyAlignment="1">
      <x:alignment horizontal="center" vertical="center"/>
    </x:xf>
    <x:xf numFmtId="0" fontId="2" fillId="0" borderId="196" xfId="0" applyNumberFormat="1" applyFont="1" applyFill="1" applyBorder="1" applyAlignment="1">
      <x:alignment horizontal="center" vertical="center"/>
    </x:xf>
    <x:xf numFmtId="1" fontId="2" fillId="0" borderId="196" xfId="0" applyNumberFormat="1" applyFont="1" applyFill="1" applyBorder="1" applyAlignment="1">
      <x:alignment horizontal="center" vertical="center"/>
    </x:xf>
    <x:xf numFmtId="1" fontId="8" fillId="0" borderId="192" xfId="0" applyNumberFormat="1" applyFont="1" applyFill="1" applyBorder="1" applyAlignment="1">
      <x:alignment horizontal="center" vertical="center"/>
    </x:xf>
    <x:xf numFmtId="1" fontId="8" fillId="0" borderId="197" xfId="0" applyNumberFormat="1" applyFont="1" applyFill="1" applyBorder="1" applyAlignment="1">
      <x:alignment horizontal="center" vertical="center"/>
    </x:xf>
    <x:xf numFmtId="167" fontId="20" fillId="0" borderId="198" xfId="0" applyNumberFormat="1" applyFont="1" applyFill="1" applyBorder="1" applyAlignment="1">
      <x:alignment horizontal="center" vertical="center"/>
    </x:xf>
    <x:xf numFmtId="167" fontId="20" fillId="0" borderId="199" xfId="0" applyNumberFormat="1" applyFont="1" applyFill="1" applyBorder="1" applyAlignment="1">
      <x:alignment horizontal="center" vertical="center"/>
    </x:xf>
    <x:xf numFmtId="166" fontId="20" fillId="0" borderId="199" xfId="0" applyNumberFormat="1" applyFont="1" applyFill="1" applyBorder="1" applyAlignment="1">
      <x:alignment horizontal="center" vertical="center"/>
    </x:xf>
    <x:xf numFmtId="165" fontId="20" fillId="0" borderId="189" xfId="0" applyNumberFormat="1" applyFont="1" applyFill="1" applyBorder="1" applyAlignment="1">
      <x:alignment horizontal="center" vertical="center"/>
    </x:xf>
    <x:xf numFmtId="165" fontId="20" fillId="0" borderId="200" xfId="0" applyNumberFormat="1" applyFont="1" applyFill="1" applyBorder="1" applyAlignment="1">
      <x:alignment horizontal="center" vertical="center"/>
    </x:xf>
    <x:xf numFmtId="1" fontId="20" fillId="0" borderId="200" xfId="0" applyNumberFormat="1" applyFont="1" applyFill="1" applyBorder="1" applyAlignment="1">
      <x:alignment horizontal="center" vertical="center"/>
    </x:xf>
    <x:xf numFmtId="164" fontId="8" fillId="0" borderId="178" xfId="0" applyNumberFormat="1" applyFont="1" applyFill="1" applyBorder="1" applyAlignment="1">
      <x:alignment horizontal="center" vertical="center"/>
    </x:xf>
    <x:xf numFmtId="1" fontId="8" fillId="0" borderId="179" xfId="0" applyNumberFormat="1" applyFont="1" applyFill="1" applyBorder="1" applyAlignment="1">
      <x:alignment horizontal="center" vertical="center"/>
    </x:xf>
    <x:xf numFmtId="1" fontId="20" fillId="0" borderId="195" xfId="0" applyNumberFormat="1" applyFont="1" applyFill="1" applyBorder="1" applyAlignment="1">
      <x:alignment horizontal="center" vertical="center"/>
    </x:xf>
    <x:xf numFmtId="1" fontId="20" fillId="0" borderId="180" xfId="0" applyNumberFormat="1" applyFont="1" applyFill="1" applyBorder="1" applyAlignment="1">
      <x:alignment horizontal="center" vertical="center"/>
    </x:xf>
    <x:xf numFmtId="1" fontId="20" fillId="0" borderId="187" xfId="0" applyNumberFormat="1" applyFont="1" applyFill="1" applyBorder="1" applyAlignment="1">
      <x:alignment horizontal="center" vertical="center"/>
    </x:xf>
    <x:xf numFmtId="0" fontId="2" fillId="0" borderId="188" xfId="0" applyNumberFormat="1" applyFont="1" applyFill="1" applyBorder="1" applyAlignment="1">
      <x:alignment horizontal="center" vertical="center"/>
    </x:xf>
    <x:xf numFmtId="1" fontId="2" fillId="0" borderId="188" xfId="0" applyNumberFormat="1" applyFont="1" applyFill="1" applyBorder="1" applyAlignment="1">
      <x:alignment horizontal="center" vertical="center"/>
    </x:xf>
    <x:xf numFmtId="1" fontId="8" fillId="0" borderId="198" xfId="0" applyNumberFormat="1" applyFont="1" applyFill="1" applyBorder="1" applyAlignment="1">
      <x:alignment horizontal="center" vertical="center"/>
    </x:xf>
    <x:xf numFmtId="1" fontId="8" fillId="0" borderId="201" xfId="0" applyNumberFormat="1" applyFont="1" applyFill="1" applyBorder="1" applyAlignment="1">
      <x:alignment horizontal="center" vertical="center"/>
    </x:xf>
    <x:xf numFmtId="1" fontId="8" fillId="0" borderId="188" xfId="0" applyNumberFormat="1" applyFont="1" applyFill="1" applyBorder="1" applyAlignment="1">
      <x:alignment horizontal="center" vertical="center"/>
    </x:xf>
    <x:xf numFmtId="0" fontId="6" fillId="2" borderId="159" xfId="0" applyNumberFormat="1" applyFont="1" applyFill="1" applyBorder="1" applyAlignment="1">
      <x:alignment horizontal="left" vertical="center"/>
    </x:xf>
    <x:xf numFmtId="0" fontId="6" fillId="2" borderId="202" xfId="0" applyNumberFormat="1" applyFont="1" applyFill="1" applyBorder="1" applyAlignment="1">
      <x:alignment horizontal="center" vertical="center"/>
    </x:xf>
    <x:xf numFmtId="0" fontId="3" fillId="2" borderId="203" xfId="0" applyNumberFormat="1" applyFont="1" applyFill="1" applyBorder="1" applyAlignment="1">
      <x:alignment horizontal="center" vertical="center"/>
    </x:xf>
    <x:xf numFmtId="1" fontId="7" fillId="2" borderId="203" xfId="0" applyNumberFormat="1" applyFont="1" applyFill="1" applyBorder="1" applyAlignment="1">
      <x:alignment horizontal="center" vertical="center"/>
    </x:xf>
    <x:xf numFmtId="0" fontId="7" fillId="2" borderId="203" xfId="0" applyNumberFormat="1" applyFont="1" applyFill="1" applyBorder="1" applyAlignment="1">
      <x:alignment vertical="center"/>
    </x:xf>
    <x:xf numFmtId="0" fontId="6" fillId="2" borderId="153" xfId="0" applyNumberFormat="1" applyFont="1" applyFill="1" applyBorder="1" applyAlignment="1">
      <x:alignment horizontal="left" vertical="center"/>
    </x:xf>
    <x:xf numFmtId="0" fontId="6" fillId="2" borderId="154" xfId="0" applyNumberFormat="1" applyFont="1" applyFill="1" applyBorder="1" applyAlignment="1">
      <x:alignment horizontal="center" vertical="center"/>
    </x:xf>
    <x:xf numFmtId="0" fontId="3" fillId="2" borderId="147" xfId="0" applyNumberFormat="1" applyFont="1" applyFill="1" applyBorder="1" applyAlignment="1">
      <x:alignment horizontal="center" vertical="center"/>
    </x:xf>
    <x:xf numFmtId="0" fontId="7" fillId="2" borderId="147" xfId="0" applyNumberFormat="1" applyFont="1" applyFill="1" applyBorder="1" applyAlignment="1">
      <x:alignment vertical="center"/>
    </x:xf>
    <x:xf numFmtId="1" fontId="7" fillId="2" borderId="147" xfId="0" applyNumberFormat="1" applyFont="1" applyFill="1" applyBorder="1" applyAlignment="1">
      <x:alignment horizontal="center" vertical="center"/>
    </x:xf>
    <x:xf numFmtId="0" fontId="3" fillId="2" borderId="165" xfId="0" applyNumberFormat="1" applyFont="1" applyFill="1" applyBorder="1" applyAlignment="1">
      <x:alignment horizontal="center" vertical="center"/>
    </x:xf>
    <x:xf numFmtId="0" fontId="7" fillId="2" borderId="165" xfId="0" applyNumberFormat="1" applyFont="1" applyFill="1" applyBorder="1" applyAlignment="1">
      <x:alignment vertical="center"/>
    </x:xf>
    <x:xf numFmtId="1" fontId="7" fillId="2" borderId="165" xfId="0" applyNumberFormat="1" applyFont="1" applyFill="1" applyBorder="1" applyAlignment="1">
      <x:alignment horizontal="center" vertical="center"/>
    </x:xf>
    <x:xf numFmtId="0" fontId="3" fillId="0" borderId="147" xfId="0" applyNumberFormat="1" applyFont="1" applyFill="1" applyBorder="1" applyAlignment="1">
      <x:alignment horizontal="left" vertical="center"/>
    </x:xf>
    <x:xf numFmtId="0" fontId="9" fillId="2" borderId="147" xfId="0" applyNumberFormat="1" applyFont="1" applyFill="1" applyBorder="1" applyAlignment="1">
      <x:alignment vertical="center"/>
    </x:xf>
    <x:xf numFmtId="1" fontId="7" fillId="0" borderId="156" xfId="0" applyNumberFormat="1" applyFont="1" applyFill="1" applyBorder="1" applyAlignment="1">
      <x:alignment horizontal="center" vertical="center"/>
    </x:xf>
    <x:xf numFmtId="1" fontId="6" fillId="0" borderId="147" xfId="0" applyNumberFormat="1" applyFont="1" applyFill="1" applyBorder="1" applyAlignment="1">
      <x:alignment horizontal="center" vertical="center" wrapText="1"/>
    </x:xf>
    <x:xf numFmtId="0" fontId="6" fillId="2" borderId="153" xfId="0" applyNumberFormat="1" applyFont="1" applyFill="1" applyBorder="1" applyAlignment="1">
      <x:alignment vertical="center"/>
    </x:xf>
    <x:xf numFmtId="14" fontId="7" fillId="2" borderId="203" xfId="0" applyNumberFormat="1" applyFont="1" applyFill="1" applyBorder="1" applyAlignment="1">
      <x:alignment horizontal="center" vertical="center"/>
    </x:xf>
    <x:xf numFmtId="0" fontId="6" fillId="2" borderId="204" xfId="0" applyNumberFormat="1" applyFont="1" applyFill="1" applyBorder="1" applyAlignment="1">
      <x:alignment vertical="center"/>
    </x:xf>
    <x:xf numFmtId="0" fontId="6" fillId="2" borderId="205" xfId="0" applyNumberFormat="1" applyFont="1" applyFill="1" applyBorder="1" applyAlignment="1">
      <x:alignment horizontal="center" vertical="center"/>
    </x:xf>
    <x:xf numFmtId="0" fontId="0" fillId="0" borderId="206" xfId="0" applyNumberFormat="1" applyFont="1" applyFill="1" applyBorder="1"/>
    <x:xf numFmtId="0" fontId="0" fillId="0" borderId="144" xfId="0" applyNumberFormat="1" applyFont="1" applyFill="1" applyBorder="1" applyAlignment="1">
      <x:alignment horizontal="center"/>
    </x:xf>
    <x:xf numFmtId="1" fontId="8" fillId="0" borderId="200" xfId="0" applyNumberFormat="1" applyFont="1" applyFill="1" applyBorder="1" applyAlignment="1">
      <x:alignment horizontal="center" vertical="center"/>
    </x:xf>
    <x:xf numFmtId="1" fontId="8" fillId="0" borderId="207" xfId="0" applyNumberFormat="1" applyFont="1" applyFill="1" applyBorder="1" applyAlignment="1">
      <x:alignment horizontal="center" vertical="center"/>
    </x:xf>
    <x:xf numFmtId="0" fontId="0" fillId="2" borderId="208" xfId="0" applyNumberFormat="1" applyFont="1" applyFill="1" applyBorder="1" applyAlignment="1">
      <x:alignment horizontal="center" vertical="center"/>
    </x:xf>
    <x:xf numFmtId="1" fontId="7" fillId="2" borderId="209" xfId="0" applyNumberFormat="1" applyFont="1" applyFill="1" applyBorder="1" applyAlignment="1">
      <x:alignment horizontal="center" vertical="center"/>
    </x:xf>
    <x:xf numFmtId="1" fontId="7" fillId="2" borderId="210" xfId="0" applyNumberFormat="1" applyFont="1" applyFill="1" applyBorder="1" applyAlignment="1">
      <x:alignment horizontal="center" vertical="center"/>
    </x:xf>
    <x:xf numFmtId="165" fontId="7" fillId="2" borderId="149" xfId="0" applyNumberFormat="1" applyFont="1" applyFill="1" applyBorder="1" applyAlignment="1">
      <x:alignment horizontal="center" vertical="center"/>
    </x:xf>
    <x:xf numFmtId="1" fontId="7" fillId="2" borderId="149" xfId="0" applyNumberFormat="1" applyFont="1" applyFill="1" applyBorder="1" applyAlignment="1">
      <x:alignment horizontal="center" vertical="center"/>
    </x:xf>
    <x:xf numFmtId="0" fontId="28" fillId="0" borderId="144" xfId="0" applyNumberFormat="1" applyFont="1" applyFill="1" applyBorder="1"/>
    <x:xf numFmtId="0" fontId="7" fillId="0" borderId="144" xfId="0" applyNumberFormat="1" applyFont="1" applyFill="1" applyBorder="1" applyAlignment="1">
      <x:alignment horizontal="center" wrapText="1"/>
    </x:xf>
    <x:xf numFmtId="0" fontId="0" fillId="0" borderId="144" xfId="0" applyNumberFormat="1" applyFont="1" applyFill="1" applyBorder="1" applyAlignment="1">
      <x:alignment vertical="center"/>
    </x:xf>
    <x:xf numFmtId="0" fontId="24" fillId="0" borderId="144" xfId="0" applyNumberFormat="1" applyFont="1" applyFill="1" applyBorder="1" applyAlignment="1">
      <x:alignment horizontal="center" vertical="center"/>
    </x:xf>
    <x:xf numFmtId="0" fontId="24" fillId="0" borderId="144" xfId="0" applyNumberFormat="1" applyFont="1" applyFill="1" applyBorder="1" applyAlignment="1">
      <x:alignment vertical="center"/>
    </x:xf>
    <x:xf numFmtId="0" fontId="24" fillId="0" borderId="144" xfId="0" applyNumberFormat="1" applyFont="1" applyFill="1" applyBorder="1" applyAlignment="1">
      <x:alignment vertical="center" wrapText="1"/>
    </x:xf>
    <x:xf numFmtId="0" fontId="28" fillId="0" borderId="144" xfId="0" applyNumberFormat="1" applyFont="1" applyFill="1" applyBorder="1" applyAlignment="1">
      <x:alignment horizontal="center"/>
    </x:xf>
    <x:xf numFmtId="0" fontId="28" fillId="4" borderId="144" xfId="0" applyNumberFormat="1" applyFont="1" applyFill="1" applyBorder="1" applyAlignment="1">
      <x:alignment horizontal="center"/>
    </x:xf>
    <x:xf numFmtId="1" fontId="28" fillId="4" borderId="144" xfId="0" applyNumberFormat="1" applyFont="1" applyFill="1" applyBorder="1" applyAlignment="1">
      <x:alignment horizontal="center"/>
    </x:xf>
    <x:xf numFmtId="0" fontId="0" fillId="5" borderId="144" xfId="0" applyNumberFormat="1" applyFont="1" applyFill="1" applyBorder="1" applyAlignment="1">
      <x:alignment horizontal="center" vertical="center"/>
    </x:xf>
    <x:xf numFmtId="0" fontId="0" fillId="6" borderId="211" xfId="0" applyNumberFormat="1" applyFont="1" applyFill="1" applyBorder="1" applyAlignment="1">
      <x:alignment horizontal="center" vertical="center"/>
    </x:xf>
    <x:xf numFmtId="0" fontId="0" fillId="0" borderId="144" xfId="0" applyNumberFormat="1" applyFont="1" applyFill="1" applyBorder="1" applyAlignment="1">
      <x:alignment horizontal="center" vertical="center"/>
    </x:xf>
    <x:xf numFmtId="0" fontId="0" fillId="3" borderId="144" xfId="0" applyNumberFormat="1" applyFont="1" applyFill="1" applyBorder="1" applyAlignment="1">
      <x:alignment horizontal="center" vertical="center"/>
    </x:xf>
    <x:xf numFmtId="0" fontId="29" fillId="0" borderId="144" xfId="0" applyNumberFormat="1" applyFont="1" applyFill="1" applyBorder="1" applyAlignment="1">
      <x:alignment vertical="center"/>
    </x:xf>
    <x:xf numFmtId="0" fontId="0" fillId="0" borderId="144" xfId="0" applyNumberFormat="1" applyFont="1" applyFill="1" applyBorder="1" applyAlignment="1">
      <x:alignment vertical="center" wrapText="1"/>
    </x:xf>
    <x:xf numFmtId="0" fontId="30" fillId="0" borderId="144" xfId="0" applyNumberFormat="1" applyFont="1" applyFill="1" applyBorder="1" applyAlignment="1">
      <x:alignment vertical="center" wrapText="1"/>
    </x:xf>
    <x:xf numFmtId="1" fontId="18" fillId="0" borderId="147" xfId="0" applyNumberFormat="1" applyFont="1" applyFill="1" applyBorder="1" applyAlignment="1">
      <x:alignment vertical="center" wrapText="1"/>
    </x:xf>
    <x:xf numFmtId="0" fontId="3" fillId="7" borderId="212" xfId="0" applyNumberFormat="1" applyFont="1" applyFill="1" applyBorder="1" applyAlignment="1">
      <x:alignment horizontal="center" vertical="center"/>
    </x:xf>
    <x:xf numFmtId="1" fontId="11" fillId="7" borderId="213" xfId="0" applyNumberFormat="1" applyFont="1" applyFill="1" applyBorder="1" applyAlignment="1">
      <x:alignment horizontal="center" vertical="center"/>
    </x:xf>
    <x:xf numFmtId="1" fontId="11" fillId="7" borderId="214" xfId="0" applyNumberFormat="1" applyFont="1" applyFill="1" applyBorder="1" applyAlignment="1">
      <x:alignment horizontal="center" vertical="center"/>
    </x:xf>
    <x:xf numFmtId="1" fontId="11" fillId="7" borderId="215" xfId="0" applyNumberFormat="1" applyFont="1" applyFill="1" applyBorder="1" applyAlignment="1">
      <x:alignment horizontal="center" vertical="center"/>
    </x:xf>
    <x:xf numFmtId="1" fontId="11" fillId="7" borderId="216" xfId="0" applyNumberFormat="1" applyFont="1" applyFill="1" applyBorder="1" applyAlignment="1">
      <x:alignment horizontal="center" vertical="center"/>
    </x:xf>
    <x:xf numFmtId="1" fontId="11" fillId="7" borderId="217" xfId="0" applyNumberFormat="1" applyFont="1" applyFill="1" applyBorder="1" applyAlignment="1">
      <x:alignment horizontal="center" vertical="center"/>
    </x:xf>
    <x:xf numFmtId="165" fontId="11" fillId="7" borderId="160" xfId="0" applyNumberFormat="1" applyFont="1" applyFill="1" applyBorder="1" applyAlignment="1">
      <x:alignment horizontal="center" vertical="center"/>
    </x:xf>
    <x:xf numFmtId="1" fontId="11" fillId="7" borderId="160" xfId="0" applyNumberFormat="1" applyFont="1" applyFill="1" applyBorder="1" applyAlignment="1">
      <x:alignment horizontal="center" vertical="center"/>
    </x:xf>
    <x:xf numFmtId="14" fontId="7" fillId="2" borderId="149" xfId="0" applyNumberFormat="1" applyFont="1" applyFill="1" applyBorder="1" applyAlignment="1">
      <x:alignment horizontal="center" vertical="center"/>
    </x:xf>
    <x:xf numFmtId="0" fontId="6" fillId="0" borderId="218" xfId="0" applyNumberFormat="1" applyFont="1" applyFill="1" applyBorder="1" applyAlignment="1">
      <x:alignment horizontal="center" vertical="center"/>
    </x:xf>
    <x:xf numFmtId="49" fontId="7" fillId="0" borderId="219" xfId="0" applyNumberFormat="1" applyFont="1" applyFill="1" applyBorder="1" applyAlignment="1">
      <x:alignment horizontal="center" vertical="center"/>
    </x:xf>
    <x:xf numFmtId="49" fontId="7" fillId="0" borderId="220" xfId="0" applyNumberFormat="1" applyFont="1" applyFill="1" applyBorder="1" applyAlignment="1">
      <x:alignment horizontal="center" vertical="center"/>
    </x:xf>
    <x:xf numFmtId="49" fontId="7" fillId="0" borderId="165" xfId="0" applyNumberFormat="1" applyFont="1" applyFill="1" applyBorder="1" applyAlignment="1">
      <x:alignment horizontal="center" vertical="center"/>
    </x:xf>
    <x:xf numFmtId="49" fontId="7" fillId="0" borderId="203" xfId="0" applyNumberFormat="1" applyFont="1" applyFill="1" applyBorder="1" applyAlignment="1">
      <x:alignment horizontal="center" vertical="center"/>
    </x:xf>
    <x:xf numFmtId="1" fontId="8" fillId="0" borderId="221" xfId="0" applyNumberFormat="1" applyFont="1" applyFill="1" applyBorder="1" applyAlignment="1">
      <x:alignment horizontal="center" vertical="center"/>
    </x:xf>
    <x:xf numFmtId="1" fontId="8" fillId="0" borderId="222" xfId="0" applyNumberFormat="1" applyFont="1" applyFill="1" applyBorder="1" applyAlignment="1">
      <x:alignment horizontal="center" vertical="center"/>
    </x:xf>
    <x:xf numFmtId="1" fontId="8" fillId="0" borderId="223" xfId="0" applyNumberFormat="1" applyFont="1" applyFill="1" applyBorder="1" applyAlignment="1">
      <x:alignment horizontal="center" vertical="center"/>
    </x:xf>
    <x:xf numFmtId="1" fontId="8" fillId="0" borderId="224" xfId="0" applyNumberFormat="1" applyFont="1" applyFill="1" applyBorder="1" applyAlignment="1">
      <x:alignment horizontal="center" vertical="center"/>
    </x:xf>
    <x:xf numFmtId="1" fontId="8" fillId="0" borderId="225" xfId="0" applyNumberFormat="1" applyFont="1" applyFill="1" applyBorder="1" applyAlignment="1">
      <x:alignment horizontal="center" vertical="center"/>
    </x:xf>
    <x:xf numFmtId="1" fontId="8" fillId="0" borderId="226" xfId="0" applyNumberFormat="1" applyFont="1" applyFill="1" applyBorder="1" applyAlignment="1">
      <x:alignment horizontal="center" vertical="center"/>
    </x:xf>
    <x:xf numFmtId="0" fontId="7" fillId="0" borderId="227" xfId="0" applyNumberFormat="1" applyFont="1" applyFill="1" applyBorder="1" applyAlignment="1">
      <x:alignment horizontal="center" vertical="center"/>
    </x:xf>
    <x:xf numFmtId="0" fontId="7" fillId="0" borderId="228" xfId="0" applyNumberFormat="1" applyFont="1" applyFill="1" applyBorder="1" applyAlignment="1">
      <x:alignment horizontal="center" vertical="center"/>
    </x:xf>
    <x:xf numFmtId="1" fontId="6" fillId="2" borderId="159" xfId="0" applyNumberFormat="1" applyFont="1" applyFill="1" applyBorder="1" applyAlignment="1">
      <x:alignment horizontal="center" vertical="center"/>
    </x:xf>
    <x:xf numFmtId="49" fontId="19" fillId="0" borderId="165" xfId="0" applyNumberFormat="1" applyFont="1" applyFill="1" applyBorder="1" applyAlignment="1">
      <x:alignment horizontal="center" vertical="center" wrapText="1"/>
    </x:xf>
    <x:xf numFmtId="49" fontId="19" fillId="0" borderId="203" xfId="0" applyNumberFormat="1" applyFont="1" applyFill="1" applyBorder="1" applyAlignment="1">
      <x:alignment horizontal="center" vertical="center" wrapText="1"/>
    </x:xf>
    <x:xf numFmtId="49" fontId="9" fillId="0" borderId="165" xfId="0" applyNumberFormat="1" applyFont="1" applyFill="1" applyBorder="1" applyAlignment="1">
      <x:alignment horizontal="center" vertical="center" wrapText="1"/>
    </x:xf>
    <x:xf numFmtId="49" fontId="9" fillId="0" borderId="158" xfId="0" applyNumberFormat="1" applyFont="1" applyFill="1" applyBorder="1" applyAlignment="1">
      <x:alignment horizontal="center" vertical="center" wrapText="1"/>
    </x:xf>
    <x:xf numFmtId="49" fontId="9" fillId="0" borderId="203" xfId="0" applyNumberFormat="1" applyFont="1" applyFill="1" applyBorder="1" applyAlignment="1">
      <x:alignment horizontal="center" vertical="center" wrapText="1"/>
    </x:xf>
    <x:xf numFmtId="1" fontId="8" fillId="0" borderId="229" xfId="0" applyNumberFormat="1" applyFont="1" applyFill="1" applyBorder="1" applyAlignment="1">
      <x:alignment horizontal="center" vertical="center"/>
    </x:xf>
    <x:xf numFmtId="1" fontId="8" fillId="0" borderId="230" xfId="0" applyNumberFormat="1" applyFont="1" applyFill="1" applyBorder="1" applyAlignment="1">
      <x:alignment horizontal="center" vertical="center"/>
    </x:xf>
    <x:xf numFmtId="1" fontId="8" fillId="0" borderId="206" xfId="0" applyNumberFormat="1" applyFont="1" applyFill="1" applyBorder="1" applyAlignment="1">
      <x:alignment horizontal="left" vertical="top" wrapText="1"/>
    </x:xf>
    <x:xf numFmtId="1" fontId="8" fillId="0" borderId="144" xfId="0" applyNumberFormat="1" applyFont="1" applyFill="1" applyBorder="1" applyAlignment="1">
      <x:alignment horizontal="left" vertical="top" wrapText="1"/>
    </x:xf>
    <x:xf numFmtId="1" fontId="8" fillId="0" borderId="231" xfId="0" applyNumberFormat="1" applyFont="1" applyFill="1" applyBorder="1" applyAlignment="1">
      <x:alignment horizontal="left" vertical="top" wrapText="1"/>
    </x:xf>
    <x:xf numFmtId="49" fontId="15" fillId="0" borderId="165" xfId="0" applyNumberFormat="1" applyFont="1" applyFill="1" applyBorder="1" applyAlignment="1">
      <x:alignment horizontal="center" vertical="center" wrapText="1"/>
    </x:xf>
    <x:xf numFmtId="49" fontId="15" fillId="0" borderId="158" xfId="0" applyNumberFormat="1" applyFont="1" applyFill="1" applyBorder="1" applyAlignment="1">
      <x:alignment horizontal="center" vertical="center" wrapText="1"/>
    </x:xf>
    <x:xf numFmtId="49" fontId="15" fillId="0" borderId="203" xfId="0" applyNumberFormat="1" applyFont="1" applyFill="1" applyBorder="1" applyAlignment="1">
      <x:alignment horizontal="center" vertical="center" wrapText="1"/>
    </x:xf>
    <x:xf numFmtId="1" fontId="18" fillId="7" borderId="156" xfId="0" applyNumberFormat="1" applyFont="1" applyFill="1" applyBorder="1" applyAlignment="1">
      <x:alignment horizontal="center" vertical="center" wrapText="1"/>
    </x:xf>
    <x:xf numFmtId="1" fontId="18" fillId="7" borderId="153" xfId="0" applyNumberFormat="1" applyFont="1" applyFill="1" applyBorder="1" applyAlignment="1">
      <x:alignment horizontal="center" vertical="center" wrapText="1"/>
    </x:xf>
    <x:xf numFmtId="1" fontId="18" fillId="7" borderId="154" xfId="0" applyNumberFormat="1" applyFont="1" applyFill="1" applyBorder="1" applyAlignment="1">
      <x:alignment horizontal="center" vertical="center" wrapText="1"/>
    </x:xf>
    <x:xf numFmtId="49" fontId="7" fillId="0" borderId="232" xfId="0" applyNumberFormat="1" applyFont="1" applyFill="1" applyBorder="1" applyAlignment="1">
      <x:alignment horizontal="center" vertical="center"/>
    </x:xf>
    <x:xf numFmtId="49" fontId="7" fillId="0" borderId="164" xfId="0" applyNumberFormat="1" applyFont="1" applyFill="1" applyBorder="1" applyAlignment="1">
      <x:alignment horizontal="center" vertical="center"/>
    </x:xf>
    <x:xf numFmtId="49" fontId="7" fillId="0" borderId="206" xfId="0" applyNumberFormat="1" applyFont="1" applyFill="1" applyBorder="1" applyAlignment="1">
      <x:alignment horizontal="center" vertical="center"/>
    </x:xf>
    <x:xf numFmtId="49" fontId="7" fillId="0" borderId="144" xfId="0" applyNumberFormat="1" applyFont="1" applyFill="1" applyBorder="1" applyAlignment="1">
      <x:alignment horizontal="center" vertical="center"/>
    </x:xf>
    <x:xf numFmtId="49" fontId="7" fillId="0" borderId="233" xfId="0" applyNumberFormat="1" applyFont="1" applyFill="1" applyBorder="1" applyAlignment="1">
      <x:alignment horizontal="center" vertical="center"/>
    </x:xf>
    <x:xf numFmtId="49" fontId="7" fillId="0" borderId="234" xfId="0" applyNumberFormat="1" applyFont="1" applyFill="1" applyBorder="1" applyAlignment="1">
      <x:alignment horizontal="center" vertical="center"/>
    </x:xf>
    <x:xf numFmtId="49" fontId="7" fillId="0" borderId="158" xfId="0" applyNumberFormat="1" applyFont="1" applyFill="1" applyBorder="1" applyAlignment="1">
      <x:alignment horizontal="center" vertical="center"/>
    </x:xf>
    <x:xf numFmtId="49" fontId="9" fillId="0" borderId="153" xfId="0" applyNumberFormat="1" applyFont="1" applyFill="1" applyBorder="1" applyAlignment="1">
      <x:alignment horizontal="center" vertical="center"/>
    </x:xf>
    <x:xf numFmtId="49" fontId="9" fillId="0" borderId="235" xfId="0" applyNumberFormat="1" applyFont="1" applyFill="1" applyBorder="1" applyAlignment="1">
      <x:alignment horizontal="center" vertical="center"/>
    </x:xf>
    <x:xf numFmtId="49" fontId="6" fillId="0" borderId="164" xfId="0" applyNumberFormat="1" applyFont="1" applyFill="1" applyBorder="1" applyAlignment="1">
      <x:alignment horizontal="center" vertical="center"/>
    </x:xf>
    <x:xf numFmtId="49" fontId="6" fillId="0" borderId="236" xfId="0" applyNumberFormat="1" applyFont="1" applyFill="1" applyBorder="1" applyAlignment="1">
      <x:alignment horizontal="center" vertical="center"/>
    </x:xf>
    <x:xf numFmtId="49" fontId="6" fillId="0" borderId="234" xfId="0" applyNumberFormat="1" applyFont="1" applyFill="1" applyBorder="1" applyAlignment="1">
      <x:alignment horizontal="center" vertical="center"/>
    </x:xf>
    <x:xf numFmtId="49" fontId="6" fillId="0" borderId="237" xfId="0" applyNumberFormat="1" applyFont="1" applyFill="1" applyBorder="1" applyAlignment="1">
      <x:alignment horizontal="center" vertical="center"/>
    </x:xf>
    <x:xf numFmtId="0" fontId="8" fillId="0" borderId="238" xfId="0" applyNumberFormat="1" applyFont="1" applyFill="1" applyBorder="1" applyAlignment="1">
      <x:alignment horizontal="center" vertical="center"/>
    </x:xf>
    <x:xf numFmtId="0" fontId="8" fillId="0" borderId="239" xfId="0" applyNumberFormat="1" applyFont="1" applyFill="1" applyBorder="1" applyAlignment="1">
      <x:alignment horizontal="center" vertical="center"/>
    </x:xf>
    <x:xf numFmtId="0" fontId="9" fillId="0" borderId="240" xfId="0" applyNumberFormat="1" applyFont="1" applyFill="1" applyBorder="1" applyAlignment="1">
      <x:alignment horizontal="center" vertical="center" wrapText="1"/>
    </x:xf>
    <x:xf numFmtId="0" fontId="9" fillId="0" borderId="241" xfId="0" applyNumberFormat="1" applyFont="1" applyFill="1" applyBorder="1" applyAlignment="1">
      <x:alignment horizontal="center" vertical="center" wrapText="1"/>
    </x:xf>
    <x:xf numFmtId="0" fontId="7" fillId="0" borderId="242" xfId="0" applyNumberFormat="1" applyFont="1" applyFill="1" applyBorder="1" applyAlignment="1">
      <x:alignment horizontal="center" vertical="center"/>
    </x:xf>
    <x:xf numFmtId="0" fontId="7" fillId="0" borderId="243" xfId="0" applyNumberFormat="1" applyFont="1" applyFill="1" applyBorder="1" applyAlignment="1">
      <x:alignment horizontal="center" vertical="center"/>
    </x:xf>
    <x:xf numFmtId="0" fontId="7" fillId="0" borderId="219" xfId="0" applyNumberFormat="1" applyFont="1" applyFill="1" applyBorder="1" applyAlignment="1">
      <x:alignment horizontal="center" vertical="center"/>
    </x:xf>
    <x:xf numFmtId="0" fontId="7" fillId="0" borderId="220" xfId="0" applyNumberFormat="1" applyFont="1" applyFill="1" applyBorder="1" applyAlignment="1">
      <x:alignment horizontal="center" vertical="center"/>
    </x:xf>
    <x:xf numFmtId="0" fontId="7" fillId="2" borderId="156" xfId="0" applyNumberFormat="1" applyFont="1" applyFill="1" applyBorder="1" applyAlignment="1">
      <x:alignment horizontal="center" vertical="center"/>
    </x:xf>
    <x:xf numFmtId="0" fontId="7" fillId="2" borderId="235" xfId="0" applyNumberFormat="1" applyFont="1" applyFill="1" applyBorder="1" applyAlignment="1">
      <x:alignment horizontal="center" vertical="center"/>
    </x:xf>
    <x:xf numFmtId="0" fontId="7" fillId="2" borderId="208" xfId="0" applyNumberFormat="1" applyFont="1" applyFill="1" applyBorder="1" applyAlignment="1">
      <x:alignment horizontal="center" vertical="center"/>
    </x:xf>
    <x:xf numFmtId="0" fontId="7" fillId="2" borderId="244" xfId="0" applyNumberFormat="1" applyFont="1" applyFill="1" applyBorder="1" applyAlignment="1">
      <x:alignment horizontal="center" vertical="center"/>
    </x:xf>
    <x:xf numFmtId="168" fontId="7" fillId="2" borderId="156" xfId="0" applyNumberFormat="1" applyFont="1" applyFill="1" applyBorder="1" applyAlignment="1">
      <x:alignment horizontal="center" vertical="center"/>
    </x:xf>
    <x:xf numFmtId="168" fontId="7" fillId="2" borderId="153" xfId="0" applyNumberFormat="1" applyFont="1" applyFill="1" applyBorder="1" applyAlignment="1">
      <x:alignment horizontal="center" vertical="center"/>
    </x:xf>
    <x:xf numFmtId="168" fontId="7" fillId="2" borderId="154" xfId="0" applyNumberFormat="1" applyFont="1" applyFill="1" applyBorder="1" applyAlignment="1">
      <x:alignment horizontal="center" vertical="center"/>
    </x:xf>
    <x:xf numFmtId="0" fontId="0" fillId="2" borderId="245" xfId="0" applyNumberFormat="1" applyFont="1" applyFill="1" applyBorder="1" applyAlignment="1">
      <x:alignment horizontal="left" vertical="center"/>
    </x:xf>
    <x:xf numFmtId="1" fontId="6" fillId="2" borderId="153" xfId="0" applyNumberFormat="1" applyFont="1" applyFill="1" applyBorder="1" applyAlignment="1">
      <x:alignment horizontal="center" vertical="center"/>
    </x:xf>
    <x:xf numFmtId="1" fontId="6" fillId="2" borderId="204" xfId="0" applyNumberFormat="1" applyFont="1" applyFill="1" applyBorder="1" applyAlignment="1">
      <x:alignment horizontal="center" vertical="center"/>
    </x:xf>
    <x:xf numFmtId="0" fontId="7" fillId="0" borderId="156" xfId="0" applyNumberFormat="1" applyFont="1" applyFill="1" applyBorder="1" applyAlignment="1">
      <x:alignment horizontal="center" vertical="center"/>
    </x:xf>
    <x:xf numFmtId="0" fontId="7" fillId="0" borderId="153" xfId="0" applyNumberFormat="1" applyFont="1" applyFill="1" applyBorder="1" applyAlignment="1">
      <x:alignment horizontal="center" vertical="center"/>
    </x:xf>
    <x:xf numFmtId="0" fontId="7" fillId="0" borderId="154" xfId="0" applyNumberFormat="1" applyFont="1" applyFill="1" applyBorder="1" applyAlignment="1">
      <x:alignment horizontal="center" vertical="center"/>
    </x:xf>
    <x:xf numFmtId="0" fontId="7" fillId="0" borderId="208" xfId="0" applyNumberFormat="1" applyFont="1" applyFill="1" applyBorder="1" applyAlignment="1">
      <x:alignment horizontal="center" vertical="center"/>
    </x:xf>
    <x:xf numFmtId="0" fontId="7" fillId="0" borderId="204" xfId="0" applyNumberFormat="1" applyFont="1" applyFill="1" applyBorder="1" applyAlignment="1">
      <x:alignment horizontal="center" vertical="center"/>
    </x:xf>
    <x:xf numFmtId="0" fontId="7" fillId="0" borderId="205" xfId="0" applyNumberFormat="1" applyFont="1" applyFill="1" applyBorder="1" applyAlignment="1">
      <x:alignment horizontal="center" vertical="center"/>
    </x:xf>
    <x:xf numFmtId="0" fontId="7" fillId="0" borderId="246" xfId="0" applyNumberFormat="1" applyFont="1" applyFill="1" applyBorder="1" applyAlignment="1">
      <x:alignment horizontal="center" vertical="center"/>
    </x:xf>
    <x:xf numFmtId="1" fontId="6" fillId="0" borderId="156" xfId="0" applyNumberFormat="1" applyFont="1" applyFill="1" applyBorder="1" applyAlignment="1">
      <x:alignment horizontal="center" vertical="center" wrapText="1"/>
    </x:xf>
    <x:xf numFmtId="1" fontId="6" fillId="0" borderId="153" xfId="0" applyNumberFormat="1" applyFont="1" applyFill="1" applyBorder="1" applyAlignment="1">
      <x:alignment horizontal="center" vertical="center" wrapText="1"/>
    </x:xf>
    <x:xf numFmtId="1" fontId="6" fillId="0" borderId="154" xfId="0" applyNumberFormat="1" applyFont="1" applyFill="1" applyBorder="1" applyAlignment="1">
      <x:alignment horizontal="center" vertical="center" wrapText="1"/>
    </x:xf>
    <x:xf numFmtId="1" fontId="6" fillId="0" borderId="235" xfId="0" applyNumberFormat="1" applyFont="1" applyFill="1" applyBorder="1" applyAlignment="1">
      <x:alignment horizontal="center" vertical="center" wrapText="1"/>
    </x:xf>
    <x:xf numFmtId="49" fontId="7" fillId="0" borderId="242" xfId="0" applyNumberFormat="1" applyFont="1" applyFill="1" applyBorder="1" applyAlignment="1">
      <x:alignment horizontal="center" vertical="center"/>
    </x:xf>
    <x:xf numFmtId="49" fontId="7" fillId="0" borderId="243" xfId="0" applyNumberFormat="1" applyFont="1" applyFill="1" applyBorder="1" applyAlignment="1">
      <x:alignment horizontal="center" vertical="center"/>
    </x:xf>
    <x:xf numFmtId="49" fontId="7" fillId="0" borderId="227" xfId="0" applyNumberFormat="1" applyFont="1" applyFill="1" applyBorder="1" applyAlignment="1">
      <x:alignment horizontal="center" vertical="center"/>
    </x:xf>
    <x:xf numFmtId="49" fontId="7" fillId="0" borderId="228" xfId="0" applyNumberFormat="1" applyFont="1" applyFill="1" applyBorder="1" applyAlignment="1">
      <x:alignment horizontal="center" vertical="center"/>
    </x:xf>
    <x:xf numFmtId="0" fontId="0" fillId="2" borderId="144" xfId="0" applyNumberFormat="1" applyFont="1" applyFill="1" applyBorder="1" applyAlignment="1">
      <x:alignment horizontal="center" vertical="center"/>
    </x:xf>
    <x:xf numFmtId="0" fontId="26" fillId="0" borderId="247" xfId="0" applyNumberFormat="1" applyFont="1" applyFill="1" applyBorder="1" applyAlignment="1">
      <x:alignment horizontal="center" vertical="center"/>
    </x:xf>
    <x:xf numFmtId="0" fontId="26" fillId="0" borderId="248" xfId="0" applyNumberFormat="1" applyFont="1" applyFill="1" applyBorder="1" applyAlignment="1">
      <x:alignment horizontal="center" vertical="center"/>
    </x:xf>
    <x:xf numFmtId="0" fontId="26" fillId="0" borderId="249" xfId="0" applyNumberFormat="1" applyFont="1" applyFill="1" applyBorder="1" applyAlignment="1">
      <x:alignment horizontal="center" vertical="center"/>
    </x:xf>
    <x:xf numFmtId="49" fontId="8" fillId="0" borderId="247" xfId="0" applyNumberFormat="1" applyFont="1" applyFill="1" applyBorder="1" applyAlignment="1">
      <x:alignment horizontal="center" vertical="center"/>
    </x:xf>
    <x:xf numFmtId="49" fontId="8" fillId="0" borderId="248" xfId="0" applyNumberFormat="1" applyFont="1" applyFill="1" applyBorder="1" applyAlignment="1">
      <x:alignment horizontal="center" vertical="center"/>
    </x:xf>
    <x:xf numFmtId="49" fontId="8" fillId="0" borderId="249" xfId="0" applyNumberFormat="1" applyFont="1" applyFill="1" applyBorder="1" applyAlignment="1">
      <x:alignment horizontal="center" vertical="center"/>
    </x:xf>
    <x:xf numFmtId="0" fontId="31" fillId="2" borderId="250" xfId="0" applyNumberFormat="1" applyFont="1" applyFill="1" applyBorder="1" applyAlignment="1">
      <x:alignment horizontal="center" vertical="center"/>
    </x:xf>
    <x:xf numFmtId="0" fontId="25" fillId="2" borderId="251" xfId="0" applyNumberFormat="1" applyFont="1" applyFill="1" applyBorder="1" applyAlignment="1">
      <x:alignment horizontal="center" vertical="center"/>
    </x:xf>
    <x:xf numFmtId="0" fontId="25" fillId="2" borderId="252" xfId="0" applyNumberFormat="1" applyFont="1" applyFill="1" applyBorder="1" applyAlignment="1">
      <x:alignment horizontal="center" vertical="center"/>
    </x:xf>
    <x:xf numFmtId="0" fontId="25" fillId="2" borderId="233" xfId="0" applyNumberFormat="1" applyFont="1" applyFill="1" applyBorder="1" applyAlignment="1">
      <x:alignment horizontal="center" vertical="center"/>
    </x:xf>
    <x:xf numFmtId="0" fontId="25" fillId="2" borderId="234" xfId="0" applyNumberFormat="1" applyFont="1" applyFill="1" applyBorder="1" applyAlignment="1">
      <x:alignment horizontal="center" vertical="center"/>
    </x:xf>
    <x:xf numFmtId="0" fontId="25" fillId="2" borderId="237" xfId="0" applyNumberFormat="1" applyFont="1" applyFill="1" applyBorder="1" applyAlignment="1">
      <x:alignment horizontal="center" vertical="center"/>
    </x:xf>
    <x:xf numFmtId="49" fontId="6" fillId="0" borderId="156" xfId="0" applyNumberFormat="1" applyFont="1" applyFill="1" applyBorder="1" applyAlignment="1">
      <x:alignment horizontal="center" vertical="center"/>
    </x:xf>
    <x:xf numFmtId="49" fontId="6" fillId="0" borderId="153" xfId="0" applyNumberFormat="1" applyFont="1" applyFill="1" applyBorder="1" applyAlignment="1">
      <x:alignment horizontal="center" vertical="center"/>
    </x:xf>
    <x:xf numFmtId="49" fontId="6" fillId="0" borderId="154" xfId="0" applyNumberFormat="1" applyFont="1" applyFill="1" applyBorder="1" applyAlignment="1">
      <x:alignment horizontal="center" vertical="center"/>
    </x:xf>
    <x:xf numFmtId="49" fontId="15" fillId="0" borderId="154" xfId="0" applyNumberFormat="1" applyFont="1" applyFill="1" applyBorder="1" applyAlignment="1">
      <x:alignment horizontal="center" vertical="center"/>
    </x:xf>
    <x:xf numFmtId="49" fontId="9" fillId="0" borderId="156" xfId="0" applyNumberFormat="1" applyFont="1" applyFill="1" applyBorder="1" applyAlignment="1">
      <x:alignment horizontal="center" vertical="center" wrapText="1"/>
    </x:xf>
    <x:xf numFmtId="49" fontId="9" fillId="0" borderId="154" xfId="0" applyNumberFormat="1" applyFont="1" applyFill="1" applyBorder="1" applyAlignment="1">
      <x:alignment horizontal="center" vertical="center" wrapText="1"/>
    </x:xf>
    <x:xf numFmtId="0" fontId="0" fillId="2" borderId="253" xfId="0" applyNumberFormat="1" applyFont="1" applyFill="1" applyBorder="1" applyAlignment="1">
      <x:alignment horizontal="center" vertical="center"/>
    </x:xf>
    <x:xf numFmtId="0" fontId="0" fillId="2" borderId="204" xfId="0" applyNumberFormat="1" applyFont="1" applyFill="1" applyBorder="1" applyAlignment="1">
      <x:alignment horizontal="center" vertical="center"/>
    </x:xf>
    <x:xf numFmtId="0" fontId="0" fillId="2" borderId="205" xfId="0" applyNumberFormat="1" applyFont="1" applyFill="1" applyBorder="1" applyAlignment="1">
      <x:alignment horizontal="center" vertical="center"/>
    </x:xf>
    <x:xf numFmtId="0" fontId="6" fillId="0" borderId="254" xfId="0" applyNumberFormat="1" applyFont="1" applyFill="1" applyBorder="1" applyAlignment="1">
      <x:alignment horizontal="center" vertical="center"/>
    </x:xf>
    <x:xf numFmtId="0" fontId="6" fillId="0" borderId="255" xfId="0" applyNumberFormat="1" applyFont="1" applyFill="1" applyBorder="1" applyAlignment="1">
      <x:alignment horizontal="center" vertical="center"/>
    </x:xf>
    <x:xf numFmtId="1" fontId="8" fillId="0" borderId="256" xfId="0" applyNumberFormat="1" applyFont="1" applyFill="1" applyBorder="1" applyAlignment="1">
      <x:alignment horizontal="center" vertical="center"/>
    </x:xf>
    <x:xf numFmtId="1" fontId="8" fillId="0" borderId="211" xfId="0" applyNumberFormat="1" applyFont="1" applyFill="1" applyBorder="1" applyAlignment="1">
      <x:alignment horizontal="center" vertical="center"/>
    </x:xf>
    <x:xf numFmtId="1" fontId="8" fillId="0" borderId="255" xfId="0" applyNumberFormat="1" applyFont="1" applyFill="1" applyBorder="1" applyAlignment="1">
      <x:alignment horizontal="center" vertical="center"/>
    </x:xf>
    <x:xf numFmtId="14" fontId="8" fillId="0" borderId="256" xfId="0" applyNumberFormat="1" applyFont="1" applyFill="1" applyBorder="1" applyAlignment="1">
      <x:alignment horizontal="center" vertical="center"/>
    </x:xf>
    <x:xf numFmtId="14" fontId="8" fillId="0" borderId="211" xfId="0" applyNumberFormat="1" applyFont="1" applyFill="1" applyBorder="1" applyAlignment="1">
      <x:alignment horizontal="center" vertical="center"/>
    </x:xf>
    <x:xf numFmtId="14" fontId="8" fillId="0" borderId="257" xfId="0" applyNumberFormat="1" applyFont="1" applyFill="1" applyBorder="1" applyAlignment="1">
      <x:alignment horizontal="center" vertical="center"/>
    </x:xf>
    <x:xf numFmtId="0" fontId="6" fillId="0" borderId="258" xfId="0" applyNumberFormat="1" applyFont="1" applyFill="1" applyBorder="1" applyAlignment="1">
      <x:alignment horizontal="center" vertical="center"/>
    </x:xf>
    <x:xf numFmtId="0" fontId="6" fillId="0" borderId="259" xfId="0" applyNumberFormat="1" applyFont="1" applyFill="1" applyBorder="1" applyAlignment="1">
      <x:alignment horizontal="center" vertical="center"/>
    </x:xf>
    <x:xf numFmtId="0" fontId="8" fillId="0" borderId="260" xfId="0" applyNumberFormat="1" applyFont="1" applyFill="1" applyBorder="1" applyAlignment="1">
      <x:alignment horizontal="center" vertical="center"/>
    </x:xf>
    <x:xf numFmtId="0" fontId="8" fillId="0" borderId="163" xfId="0" applyNumberFormat="1" applyFont="1" applyFill="1" applyBorder="1" applyAlignment="1">
      <x:alignment horizontal="center" vertical="center"/>
    </x:xf>
    <x:xf numFmtId="0" fontId="8" fillId="0" borderId="259" xfId="0" applyNumberFormat="1" applyFont="1" applyFill="1" applyBorder="1" applyAlignment="1">
      <x:alignment horizontal="center" vertical="center"/>
    </x:xf>
    <x:xf numFmtId="0" fontId="0" fillId="2" borderId="253" xfId="0" applyNumberFormat="1" applyFont="1" applyFill="1" applyBorder="1" applyAlignment="1">
      <x:alignment horizontal="left" vertical="center"/>
    </x:xf>
    <x:xf numFmtId="0" fontId="0" fillId="2" borderId="204" xfId="0" applyNumberFormat="1" applyFont="1" applyFill="1" applyBorder="1" applyAlignment="1">
      <x:alignment horizontal="left" vertical="center"/>
    </x:xf>
    <x:xf numFmtId="168" fontId="7" fillId="2" borderId="208" xfId="0" applyNumberFormat="1" applyFont="1" applyFill="1" applyBorder="1" applyAlignment="1">
      <x:alignment horizontal="center" vertical="center"/>
    </x:xf>
    <x:xf numFmtId="168" fontId="7" fillId="2" borderId="204" xfId="0" applyNumberFormat="1" applyFont="1" applyFill="1" applyBorder="1" applyAlignment="1">
      <x:alignment horizontal="center" vertical="center"/>
    </x:xf>
    <x:xf numFmtId="168" fontId="7" fillId="2" borderId="205" xfId="0" applyNumberFormat="1" applyFont="1" applyFill="1" applyBorder="1" applyAlignment="1">
      <x:alignment horizontal="center" vertical="center"/>
    </x:xf>
    <x:xf numFmtId="0" fontId="0" fillId="2" borderId="261" xfId="0" applyNumberFormat="1" applyFont="1" applyFill="1" applyBorder="1" applyAlignment="1">
      <x:alignment horizontal="left" vertical="center"/>
    </x:xf>
    <x:xf numFmtId="0" fontId="0" fillId="2" borderId="159" xfId="0" applyNumberFormat="1" applyFont="1" applyFill="1" applyBorder="1" applyAlignment="1">
      <x:alignment horizontal="left" vertical="center"/>
    </x:xf>
    <x:xf numFmtId="0" fontId="8" fillId="0" borderId="262" xfId="0" applyNumberFormat="1" applyFont="1" applyFill="1" applyBorder="1" applyAlignment="1">
      <x:alignment horizontal="center" vertical="center"/>
    </x:xf>
    <x:xf numFmtId="0" fontId="7" fillId="0" borderId="253" xfId="0" applyNumberFormat="1" applyFont="1" applyFill="1" applyBorder="1" applyAlignment="1">
      <x:alignment horizontal="left" vertical="center"/>
    </x:xf>
    <x:xf numFmtId="0" fontId="7" fillId="0" borderId="204" xfId="0" applyNumberFormat="1" applyFont="1" applyFill="1" applyBorder="1" applyAlignment="1">
      <x:alignment horizontal="left" vertical="center"/>
    </x:xf>
    <x:xf numFmtId="0" fontId="7" fillId="0" borderId="244" xfId="0" applyNumberFormat="1" applyFont="1" applyFill="1" applyBorder="1" applyAlignment="1">
      <x:alignment horizontal="left" vertical="center"/>
    </x:xf>
    <x:xf numFmtId="0" fontId="15" fillId="2" borderId="251" xfId="0" applyNumberFormat="1" applyFont="1" applyFill="1" applyBorder="1" applyAlignment="1">
      <x:alignment horizontal="left" vertical="center"/>
    </x:xf>
    <x:xf numFmtId="0" fontId="7" fillId="2" borderId="251" xfId="0" applyNumberFormat="1" applyFont="1" applyFill="1" applyBorder="1" applyAlignment="1">
      <x:alignment horizontal="center" vertical="center"/>
    </x:xf>
    <x:xf numFmtId="0" fontId="7" fillId="0" borderId="263" xfId="0" applyNumberFormat="1" applyFont="1" applyFill="1" applyBorder="1" applyAlignment="1">
      <x:alignment horizontal="center" vertical="center" wrapText="1"/>
    </x:xf>
    <x:xf numFmtId="0" fontId="7" fillId="0" borderId="264" xfId="0" applyNumberFormat="1" applyFont="1" applyFill="1" applyBorder="1" applyAlignment="1">
      <x:alignment horizontal="center" vertical="center" wrapText="1"/>
    </x:xf>
    <x:xf numFmtId="0" fontId="7" fillId="0" borderId="265" xfId="0" applyNumberFormat="1" applyFont="1" applyFill="1" applyBorder="1" applyAlignment="1">
      <x:alignment horizontal="center" vertical="center" wrapText="1"/>
    </x:xf>
    <x:xf numFmtId="0" fontId="0" fillId="0" borderId="216" xfId="0" applyNumberFormat="1" applyFont="1" applyFill="1" applyBorder="1" applyAlignment="1">
      <x:alignment horizontal="left" vertical="center" wrapText="1"/>
    </x:xf>
    <x:xf numFmtId="0" fontId="0" fillId="0" borderId="202" xfId="0" applyNumberFormat="1" applyFont="1" applyFill="1" applyBorder="1" applyAlignment="1">
      <x:alignment horizontal="left" vertical="center" wrapText="1"/>
    </x:xf>
    <x:xf numFmtId="0" fontId="0" fillId="0" borderId="156" xfId="0" applyNumberFormat="1" applyFont="1" applyFill="1" applyBorder="1" applyAlignment="1">
      <x:alignment horizontal="left" vertical="center"/>
    </x:xf>
    <x:xf numFmtId="0" fontId="0" fillId="0" borderId="203" xfId="0" applyNumberFormat="1" applyFont="1" applyFill="1" applyBorder="1" applyAlignment="1">
      <x:alignment horizontal="left" vertical="center" wrapText="1"/>
    </x:xf>
    <x:xf numFmtId="0" fontId="0" fillId="0" borderId="158" xfId="0" applyNumberFormat="1" applyFont="1" applyFill="1" applyBorder="1" applyAlignment="1">
      <x:alignment horizontal="left" vertical="center" wrapText="1"/>
    </x:xf>
    <x:xf numFmtId="0" fontId="0" fillId="0" borderId="266" xfId="0" applyNumberFormat="1" applyFont="1" applyFill="1" applyBorder="1" applyAlignment="1">
      <x:alignment horizontal="left" vertical="center" wrapText="1"/>
    </x:xf>
    <x:xf numFmtId="0" fontId="7" fillId="0" borderId="241" xfId="0" applyNumberFormat="1" applyFont="1" applyFill="1" applyBorder="1" applyAlignment="1">
      <x:alignment horizontal="center" vertical="center" wrapText="1"/>
    </x:xf>
    <x:xf numFmtId="0" fontId="0" fillId="0" borderId="156" xfId="0" applyNumberFormat="1" applyFont="1" applyFill="1" applyBorder="1" applyAlignment="1">
      <x:alignment horizontal="left" vertical="center" wrapText="1"/>
    </x:xf>
    <x:xf numFmtId="1" fontId="7" fillId="2" borderId="232" xfId="0" applyNumberFormat="1" applyFont="1" applyFill="1" applyBorder="1" applyAlignment="1">
      <x:alignment horizontal="left" vertical="center"/>
    </x:xf>
    <x:xf numFmtId="1" fontId="7" fillId="2" borderId="236" xfId="0" applyNumberFormat="1" applyFont="1" applyFill="1" applyBorder="1" applyAlignment="1">
      <x:alignment horizontal="left" vertical="center"/>
    </x:xf>
    <x:xf numFmtId="0" fontId="7" fillId="2" borderId="206" xfId="0" applyNumberFormat="1" applyFont="1" applyFill="1" applyBorder="1" applyAlignment="1">
      <x:alignment horizontal="left" vertical="center"/>
    </x:xf>
    <x:xf numFmtId="0" fontId="7" fillId="2" borderId="231" xfId="0" applyNumberFormat="1" applyFont="1" applyFill="1" applyBorder="1" applyAlignment="1">
      <x:alignment horizontal="left" vertical="center"/>
    </x:xf>
    <x:xf numFmtId="0" fontId="0" fillId="0" borderId="266" xfId="0" applyNumberFormat="1" applyFont="1" applyFill="1" applyBorder="1" applyAlignment="1">
      <x:alignment horizontal="center" vertical="center"/>
    </x:xf>
    <x:xf numFmtId="0" fontId="0" fillId="0" borderId="267" xfId="0" applyNumberFormat="1" applyFont="1" applyFill="1" applyBorder="1" applyAlignment="1">
      <x:alignment horizontal="left" vertical="center" wrapText="1"/>
    </x:xf>
    <x:xf numFmtId="0" fontId="0" fillId="0" borderId="268" xfId="0" applyNumberFormat="1" applyFont="1" applyFill="1" applyBorder="1" applyAlignment="1">
      <x:alignment horizontal="left" vertical="center" wrapText="1"/>
    </x:xf>
    <x:xf numFmtId="0" fontId="0" fillId="2" borderId="206" xfId="0" applyNumberFormat="1" applyFont="1" applyFill="1" applyBorder="1" applyAlignment="1">
      <x:alignment horizontal="center" vertical="center"/>
    </x:xf>
    <x:xf numFmtId="0" fontId="0" fillId="2" borderId="233" xfId="0" applyNumberFormat="1" applyFont="1" applyFill="1" applyBorder="1" applyAlignment="1">
      <x:alignment horizontal="center" vertical="center"/>
    </x:xf>
    <x:xf numFmtId="0" fontId="10" fillId="2" borderId="231" xfId="0" applyNumberFormat="1" applyFont="1" applyFill="1" applyBorder="1" applyAlignment="1">
      <x:alignment horizontal="center" vertical="center"/>
    </x:xf>
    <x:xf numFmtId="0" fontId="10" fillId="2" borderId="237" xfId="0" applyNumberFormat="1" applyFont="1" applyFill="1" applyBorder="1" applyAlignment="1">
      <x:alignment horizontal="center" vertical="center"/>
    </x:xf>
    <x:xf numFmtId="0" fontId="0" fillId="0" borderId="269" xfId="0" applyNumberFormat="1" applyFont="1" applyFill="1" applyBorder="1" applyAlignment="1">
      <x:alignment horizontal="left" vertical="center" wrapText="1"/>
    </x:xf>
    <x:xf numFmtId="0" fontId="0" fillId="0" borderId="270" xfId="0" applyNumberFormat="1" applyFont="1" applyFill="1" applyBorder="1" applyAlignment="1">
      <x:alignment horizontal="left" vertical="center" wrapText="1"/>
    </x:xf>
    <x:xf numFmtId="1" fontId="7" fillId="2" borderId="206" xfId="0" applyNumberFormat="1" applyFont="1" applyFill="1" applyBorder="1" applyAlignment="1">
      <x:alignment horizontal="left" vertical="center"/>
    </x:xf>
    <x:xf numFmtId="1" fontId="7" fillId="2" borderId="231" xfId="0" applyNumberFormat="1" applyFont="1" applyFill="1" applyBorder="1" applyAlignment="1">
      <x:alignment horizontal="left" vertical="center"/>
    </x:xf>
    <x:xf numFmtId="1" fontId="7" fillId="2" borderId="233" xfId="0" applyNumberFormat="1" applyFont="1" applyFill="1" applyBorder="1" applyAlignment="1">
      <x:alignment horizontal="left" vertical="center"/>
    </x:xf>
    <x:xf numFmtId="1" fontId="7" fillId="2" borderId="237" xfId="0" applyNumberFormat="1" applyFont="1" applyFill="1" applyBorder="1" applyAlignment="1">
      <x:alignment horizontal="left" vertical="center"/>
    </x:xf>
    <x:xf numFmtId="0" fontId="0" fillId="0" borderId="271" xfId="0" applyNumberFormat="1" applyFont="1" applyFill="1" applyBorder="1" applyAlignment="1">
      <x:alignment horizontal="left" vertical="center"/>
    </x:xf>
    <x:xf numFmtId="0" fontId="0" fillId="0" borderId="262" xfId="0" applyNumberFormat="1" applyFont="1" applyFill="1" applyBorder="1" applyAlignment="1">
      <x:alignment horizontal="left" vertical="center"/>
    </x:xf>
    <x:xf numFmtId="1" fontId="7" fillId="2" borderId="272" xfId="0" applyNumberFormat="1" applyFont="1" applyFill="1" applyBorder="1" applyAlignment="1">
      <x:alignment horizontal="left" vertical="center"/>
    </x:xf>
    <x:xf numFmtId="1" fontId="7" fillId="2" borderId="273" xfId="0" applyNumberFormat="1" applyFont="1" applyFill="1" applyBorder="1" applyAlignment="1">
      <x:alignment horizontal="left" vertical="center"/>
    </x:xf>
    <x:xf numFmtId="0" fontId="0" fillId="0" borderId="274" xfId="0" applyNumberFormat="1" applyFont="1" applyFill="1" applyBorder="1" applyAlignment="1">
      <x:alignment horizontal="left" vertical="center"/>
    </x:xf>
    <x:xf numFmtId="0" fontId="0" fillId="0" borderId="275" xfId="0" applyNumberFormat="1" applyFont="1" applyFill="1" applyBorder="1" applyAlignment="1">
      <x:alignment horizontal="left" vertical="center"/>
    </x:xf>
    <x:xf numFmtId="1" fontId="0" fillId="0" borderId="276" xfId="0" applyNumberFormat="1" applyFont="1" applyFill="1" applyBorder="1" applyAlignment="1">
      <x:alignment horizontal="left" vertical="center"/>
    </x:xf>
    <x:xf numFmtId="1" fontId="0" fillId="0" borderId="277" xfId="0" applyNumberFormat="1" applyFont="1" applyFill="1" applyBorder="1" applyAlignment="1">
      <x:alignment horizontal="left" vertical="center"/>
    </x:xf>
    <x:xf numFmtId="1" fontId="0" fillId="0" borderId="278" xfId="0" applyNumberFormat="1" applyFont="1" applyFill="1" applyBorder="1" applyAlignment="1">
      <x:alignment horizontal="left" vertical="center"/>
    </x:xf>
    <x:xf numFmtId="0" fontId="0" fillId="0" borderId="267" xfId="0" applyNumberFormat="1" applyFont="1" applyFill="1" applyBorder="1" applyAlignment="1">
      <x:alignment horizontal="left" vertical="center"/>
    </x:xf>
    <x:xf numFmtId="0" fontId="0" fillId="0" borderId="268" xfId="0" applyNumberFormat="1" applyFont="1" applyFill="1" applyBorder="1" applyAlignment="1">
      <x:alignment horizontal="left" vertical="center"/>
    </x:xf>
    <x:xf numFmtId="0" fontId="6" fillId="0" borderId="267" xfId="0" applyNumberFormat="1" applyFont="1" applyFill="1" applyBorder="1" applyAlignment="1">
      <x:alignment horizontal="center" vertical="center"/>
    </x:xf>
    <x:xf numFmtId="0" fontId="6" fillId="0" borderId="161" xfId="0" applyNumberFormat="1" applyFont="1" applyFill="1" applyBorder="1" applyAlignment="1">
      <x:alignment horizontal="center" vertical="center"/>
    </x:xf>
    <x:xf numFmtId="0" fontId="6" fillId="0" borderId="279" xfId="0" applyNumberFormat="1" applyFont="1" applyFill="1" applyBorder="1" applyAlignment="1">
      <x:alignment horizontal="center" vertical="center"/>
    </x:xf>
    <x:xf numFmtId="0" fontId="8" fillId="0" borderId="280" xfId="0" applyNumberFormat="1" applyFont="1" applyFill="1" applyBorder="1" applyAlignment="1">
      <x:alignment horizontal="center" vertical="center"/>
    </x:xf>
    <x:xf numFmtId="0" fontId="8" fillId="0" borderId="161" xfId="0" applyNumberFormat="1" applyFont="1" applyFill="1" applyBorder="1" applyAlignment="1">
      <x:alignment horizontal="center" vertical="center"/>
    </x:xf>
    <x:xf numFmtId="0" fontId="8" fillId="0" borderId="268" xfId="0" applyNumberFormat="1" applyFont="1" applyFill="1" applyBorder="1" applyAlignment="1">
      <x:alignment horizontal="center" vertical="center"/>
    </x:xf>
    <x:xf numFmtId="0" fontId="8" fillId="0" borderId="267" xfId="0" applyNumberFormat="1" applyFont="1" applyFill="1" applyBorder="1" applyAlignment="1">
      <x:alignment horizontal="center" vertical="center"/>
    </x:xf>
    <x:xf numFmtId="0" fontId="8" fillId="0" borderId="279" xfId="0" applyNumberFormat="1" applyFont="1" applyFill="1" applyBorder="1" applyAlignment="1">
      <x:alignment horizontal="center" vertical="center"/>
    </x:xf>
    <x:xf numFmtId="0" fontId="0" fillId="0" borderId="281" xfId="0" applyNumberFormat="1" applyFont="1" applyFill="1" applyBorder="1" applyAlignment="1">
      <x:alignment horizontal="center" vertical="center"/>
    </x:xf>
    <x:xf numFmtId="0" fontId="0" fillId="0" borderId="282" xfId="0" applyNumberFormat="1" applyFont="1" applyFill="1" applyBorder="1" applyAlignment="1">
      <x:alignment horizontal="center" vertical="center"/>
    </x:xf>
    <x:xf numFmtId="0" fontId="0" fillId="0" borderId="283" xfId="0" applyNumberFormat="1" applyFont="1" applyFill="1" applyBorder="1" applyAlignment="1">
      <x:alignment horizontal="center" vertical="center"/>
    </x:xf>
    <x:xf numFmtId="0" fontId="8" fillId="0" borderId="284" xfId="0" applyNumberFormat="1" applyFont="1" applyFill="1" applyBorder="1" applyAlignment="1">
      <x:alignment horizontal="center" vertical="center"/>
    </x:xf>
    <x:xf numFmtId="0" fontId="8" fillId="0" borderId="282" xfId="0" applyNumberFormat="1" applyFont="1" applyFill="1" applyBorder="1" applyAlignment="1">
      <x:alignment horizontal="center" vertical="center"/>
    </x:xf>
    <x:xf numFmtId="0" fontId="8" fillId="0" borderId="285" xfId="0" applyNumberFormat="1" applyFont="1" applyFill="1" applyBorder="1" applyAlignment="1">
      <x:alignment horizontal="center" vertical="center"/>
    </x:xf>
    <x:xf numFmtId="0" fontId="0" fillId="0" borderId="258" xfId="0" applyNumberFormat="1" applyFont="1" applyFill="1" applyBorder="1" applyAlignment="1">
      <x:alignment horizontal="center" vertical="center"/>
    </x:xf>
    <x:xf numFmtId="0" fontId="0" fillId="0" borderId="262" xfId="0" applyNumberFormat="1" applyFont="1" applyFill="1" applyBorder="1" applyAlignment="1">
      <x:alignment horizontal="center" vertical="center"/>
    </x:xf>
    <x:xf numFmtId="0" fontId="8" fillId="0" borderId="271" xfId="0" applyNumberFormat="1" applyFont="1" applyFill="1" applyBorder="1" applyAlignment="1">
      <x:alignment horizontal="center" vertical="center"/>
    </x:xf>
    <x:xf numFmtId="0" fontId="8" fillId="0" borderId="286" xfId="0" applyNumberFormat="1" applyFont="1" applyFill="1" applyBorder="1" applyAlignment="1">
      <x:alignment horizontal="center" vertical="center"/>
    </x:xf>
    <x:xf numFmtId="0" fontId="12" fillId="0" borderId="261" xfId="0" applyNumberFormat="1" applyFont="1" applyFill="1" applyBorder="1" applyAlignment="1">
      <x:alignment horizontal="center" vertical="center"/>
    </x:xf>
    <x:xf numFmtId="0" fontId="12" fillId="0" borderId="159" xfId="0" applyNumberFormat="1" applyFont="1" applyFill="1" applyBorder="1" applyAlignment="1">
      <x:alignment horizontal="center" vertical="center"/>
    </x:xf>
    <x:xf numFmtId="0" fontId="14" fillId="0" borderId="159" xfId="0" applyNumberFormat="1" applyFont="1" applyFill="1" applyBorder="1" applyAlignment="1">
      <x:alignment horizontal="left" vertical="center"/>
    </x:xf>
    <x:xf numFmtId="0" fontId="14" fillId="0" borderId="287" xfId="0" applyNumberFormat="1" applyFont="1" applyFill="1" applyBorder="1" applyAlignment="1">
      <x:alignment horizontal="left" vertical="center"/>
    </x:xf>
    <x:xf numFmtId="0" fontId="7" fillId="0" borderId="245" xfId="0" applyNumberFormat="1" applyFont="1" applyFill="1" applyBorder="1" applyAlignment="1">
      <x:alignment horizontal="center" vertical="center"/>
    </x:xf>
    <x:xf numFmtId="0" fontId="7" fillId="0" borderId="235" xfId="0" applyNumberFormat="1" applyFont="1" applyFill="1" applyBorder="1" applyAlignment="1">
      <x:alignment horizontal="center" vertical="center"/>
    </x:xf>
    <x:xf numFmtId="0" fontId="0" fillId="0" borderId="245" xfId="0" applyNumberFormat="1" applyFont="1" applyFill="1" applyBorder="1" applyAlignment="1">
      <x:alignment horizontal="center" vertical="center"/>
    </x:xf>
    <x:xf numFmtId="0" fontId="0" fillId="0" borderId="154" xfId="0" applyNumberFormat="1" applyFont="1" applyFill="1" applyBorder="1" applyAlignment="1">
      <x:alignment horizontal="center" vertical="center"/>
    </x:xf>
    <x:xf numFmtId="0" fontId="0" fillId="0" borderId="156" xfId="0" applyNumberFormat="1" applyFont="1" applyFill="1" applyBorder="1" applyAlignment="1">
      <x:alignment horizontal="center" vertical="center"/>
    </x:xf>
    <x:xf numFmtId="0" fontId="0" fillId="0" borderId="235" xfId="0" applyNumberFormat="1" applyFont="1" applyFill="1" applyBorder="1" applyAlignment="1">
      <x:alignment horizontal="center" vertical="center"/>
    </x:xf>
    <x:xf numFmtId="165" fontId="7" fillId="2" borderId="20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2" fillId="8" borderId="0" xfId="0" applyNumberFormat="1" applyFont="1" applyFill="1" applyBorder="1"/>
    <x:xf numFmtId="0" fontId="32" fillId="8" borderId="0" xfId="0" applyNumberFormat="1" applyFont="1" applyFill="1" applyBorder="1" applyAlignment="1">
      <x:alignment horizontal="center"/>
    </x:xf>
    <x:xf numFmtId="0" fontId="0" fillId="8" borderId="144" xfId="0" applyNumberFormat="1" applyFont="1" applyFill="1" applyBorder="1"/>
    <x:xf numFmtId="0" fontId="32" fillId="8" borderId="144" xfId="0" applyNumberFormat="1" applyFont="1" applyFill="1" applyBorder="1"/>
    <x:xf numFmtId="0" fontId="32" fillId="8" borderId="144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3" fillId="9" borderId="0" xfId="0" applyNumberFormat="1" applyFont="1" applyFill="1" applyBorder="1"/>
    <x:xf numFmtId="0" fontId="33" fillId="9" borderId="0" xfId="0" applyNumberFormat="1" applyFont="1" applyFill="1" applyBorder="1" applyAlignment="1">
      <x:alignment horizontal="center"/>
    </x:xf>
    <x:xf numFmtId="0" fontId="33" fillId="9" borderId="0" xfId="0" applyNumberFormat="1" applyFont="1" applyFill="1" applyBorder="1" applyAlignment="1">
      <x:alignment horizontal="center" vertical="center"/>
    </x:xf>
    <x:xf numFmtId="0" fontId="0" fillId="9" borderId="144" xfId="0" applyNumberFormat="1" applyFont="1" applyFill="1" applyBorder="1"/>
    <x:xf numFmtId="0" fontId="33" fillId="9" borderId="144" xfId="0" applyNumberFormat="1" applyFont="1" applyFill="1" applyBorder="1"/>
    <x:xf numFmtId="0" fontId="33" fillId="9" borderId="144" xfId="0" applyNumberFormat="1" applyFont="1" applyFill="1" applyBorder="1" applyAlignment="1">
      <x:alignment horizontal="center"/>
    </x:xf>
    <x:xf numFmtId="0" fontId="33" fillId="9" borderId="144" xfId="0" applyNumberFormat="1" applyFont="1" applyFill="1" applyBorder="1" applyAlignment="1">
      <x:alignment horizontal="center" vertical="center"/>
    </x:xf>
    <x:xf numFmtId="0" fontId="34" fillId="8" borderId="0" xfId="0" applyNumberFormat="1" applyFont="1" applyFill="1" applyBorder="1"/>
    <x:xf numFmtId="0" fontId="34" fillId="8" borderId="0" xfId="0" applyNumberFormat="1" applyFont="1" applyFill="1" applyBorder="1" applyAlignment="1">
      <x:alignment horizontal="center"/>
    </x:xf>
    <x:xf numFmtId="0" fontId="34" fillId="8" borderId="0" xfId="0" applyNumberFormat="1" applyFont="1" applyFill="1" applyBorder="1" applyAlignment="1">
      <x:alignment horizontal="center" vertical="center"/>
    </x:xf>
    <x:xf numFmtId="0" fontId="34" fillId="8" borderId="144" xfId="0" applyNumberFormat="1" applyFont="1" applyFill="1" applyBorder="1"/>
    <x:xf numFmtId="0" fontId="34" fillId="8" borderId="144" xfId="0" applyNumberFormat="1" applyFont="1" applyFill="1" applyBorder="1" applyAlignment="1">
      <x:alignment horizontal="center"/>
    </x:xf>
    <x:xf numFmtId="0" fontId="34" fillId="8" borderId="144" xfId="0" applyNumberFormat="1" applyFont="1" applyFill="1" applyBorder="1" applyAlignment="1">
      <x:alignment horizontal="center" vertical="center"/>
    </x:xf>
    <x:xf numFmtId="0" fontId="33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4" fillId="8" borderId="0" xfId="0" applyNumberFormat="1" applyFont="1" applyFill="1" applyBorder="1" applyAlignment="1">
      <x:alignment horizontal="center" vertical="center" wrapText="1"/>
    </x:xf>
    <x:xf numFmtId="0" fontId="33" fillId="9" borderId="144" xfId="0" applyNumberFormat="1" applyFont="1" applyFill="1" applyBorder="1" applyAlignment="1">
      <x:alignment horizontal="center" vertical="center" wrapText="1"/>
    </x:xf>
    <x:xf numFmtId="0" fontId="0" fillId="0" borderId="144" xfId="0" applyNumberFormat="1" applyFont="1" applyFill="1" applyBorder="1" applyAlignment="1">
      <x:alignment wrapText="1"/>
    </x:xf>
    <x:xf numFmtId="0" fontId="34" fillId="8" borderId="14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4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0" fillId="0" borderId="144" xfId="0" applyNumberFormat="1" applyFont="1" applyFill="1" applyBorder="1" applyAlignment="1">
      <x:alignment horizontal="center" wrapText="1"/>
    </x:xf>
    <x:xf numFmtId="200" fontId="0" fillId="0" borderId="144" xfId="0" applyNumberFormat="1" applyFont="1" applyFill="1" applyBorder="1" applyAlignment="1">
      <x:alignment horizontal="center" wrapText="1"/>
    </x:xf>
    <x:xf numFmtId="201" fontId="8" fillId="0" borderId="137" xfId="0" applyNumberFormat="1" applyFont="1" applyFill="1" applyBorder="1" applyAlignment="1">
      <x:alignment horizontal="center" vertical="center"/>
    </x:xf>
    <x:xf numFmtId="201" fontId="8" fillId="0" borderId="96" xfId="0" applyNumberFormat="1" applyFont="1" applyFill="1" applyBorder="1" applyAlignment="1">
      <x:alignment horizontal="center" vertical="center"/>
    </x:xf>
    <x:xf numFmtId="201" fontId="8" fillId="0" borderId="97" xfId="0" applyNumberFormat="1" applyFont="1" applyFill="1" applyBorder="1" applyAlignment="1">
      <x:alignment horizontal="center" vertical="center"/>
    </x:xf>
    <x:xf numFmtId="201" fontId="8" fillId="0" borderId="256" xfId="0" applyNumberFormat="1" applyFont="1" applyFill="1" applyBorder="1" applyAlignment="1">
      <x:alignment horizontal="center" vertical="center"/>
    </x:xf>
    <x:xf numFmtId="201" fontId="8" fillId="0" borderId="211" xfId="0" applyNumberFormat="1" applyFont="1" applyFill="1" applyBorder="1" applyAlignment="1">
      <x:alignment horizontal="center" vertical="center"/>
    </x:xf>
    <x:xf numFmtId="201" fontId="8" fillId="0" borderId="257" xfId="0" applyNumberFormat="1" applyFont="1" applyFill="1" applyBorder="1" applyAlignment="1">
      <x:alignment horizontal="center" vertical="center"/>
    </x:xf>
    <x:xf numFmtId="201" fontId="7" fillId="2" borderId="32" xfId="0" applyNumberFormat="1" applyFont="1" applyFill="1" applyBorder="1" applyAlignment="1">
      <x:alignment horizontal="center" vertical="center"/>
    </x:xf>
    <x:xf numFmtId="201" fontId="7" fillId="2" borderId="203" xfId="0" applyNumberFormat="1" applyFont="1" applyFill="1" applyBorder="1" applyAlignment="1">
      <x:alignment horizontal="center" vertical="center"/>
    </x:xf>
    <x:xf numFmtId="200" fontId="20" fillId="0" borderId="30" xfId="0" applyNumberFormat="1" applyFont="1" applyFill="1" applyBorder="1" applyAlignment="1">
      <x:alignment horizontal="center" vertical="center"/>
    </x:xf>
    <x:xf numFmtId="200" fontId="8" fillId="0" borderId="30" xfId="0" applyNumberFormat="1" applyFont="1" applyFill="1" applyBorder="1" applyAlignment="1">
      <x:alignment horizontal="center" vertical="center"/>
    </x:xf>
    <x:xf numFmtId="200" fontId="20" fillId="0" borderId="31" xfId="0" applyNumberFormat="1" applyFont="1" applyFill="1" applyBorder="1" applyAlignment="1">
      <x:alignment horizontal="center" vertical="center"/>
    </x:xf>
    <x:xf numFmtId="200" fontId="8" fillId="0" borderId="31" xfId="0" applyNumberFormat="1" applyFont="1" applyFill="1" applyBorder="1" applyAlignment="1">
      <x:alignment horizontal="center" vertical="center"/>
    </x:xf>
    <x:xf numFmtId="200" fontId="20" fillId="0" borderId="120" xfId="0" applyNumberFormat="1" applyFont="1" applyFill="1" applyBorder="1" applyAlignment="1">
      <x:alignment horizontal="center" vertical="center"/>
    </x:xf>
    <x:xf numFmtId="200" fontId="20" fillId="0" borderId="109" xfId="0" applyNumberFormat="1" applyFont="1" applyFill="1" applyBorder="1" applyAlignment="1">
      <x:alignment horizontal="center" vertical="center"/>
    </x:xf>
    <x:xf numFmtId="200" fontId="8" fillId="0" borderId="109" xfId="0" applyNumberFormat="1" applyFont="1" applyFill="1" applyBorder="1" applyAlignment="1">
      <x:alignment horizontal="center" vertical="center"/>
    </x:xf>
    <x:xf numFmtId="200" fontId="20" fillId="0" borderId="116" xfId="0" applyNumberFormat="1" applyFont="1" applyFill="1" applyBorder="1" applyAlignment="1">
      <x:alignment horizontal="center" vertical="center"/>
    </x:xf>
    <x:xf numFmtId="200" fontId="8" fillId="0" borderId="116" xfId="0" applyNumberFormat="1" applyFont="1" applyFill="1" applyBorder="1" applyAlignment="1">
      <x:alignment horizontal="center" vertical="center"/>
    </x:xf>
    <x:xf numFmtId="200" fontId="20" fillId="0" borderId="121" xfId="0" applyNumberFormat="1" applyFont="1" applyFill="1" applyBorder="1" applyAlignment="1">
      <x:alignment horizontal="center" vertical="center"/>
    </x:xf>
    <x:xf numFmtId="200" fontId="11" fillId="7" borderId="29" xfId="0" applyNumberFormat="1" applyFont="1" applyFill="1" applyBorder="1" applyAlignment="1">
      <x:alignment horizontal="center" vertical="center"/>
    </x:xf>
    <x:xf numFmtId="200" fontId="7" fillId="2" borderId="35" xfId="0" applyNumberFormat="1" applyFont="1" applyFill="1" applyBorder="1" applyAlignment="1">
      <x:alignment horizontal="center" vertical="center"/>
    </x:xf>
    <x:xf numFmtId="200" fontId="7" fillId="2" borderId="79" xfId="0" applyNumberFormat="1" applyFont="1" applyFill="1" applyBorder="1" applyAlignment="1">
      <x:alignment horizontal="center" vertical="center"/>
    </x:xf>
    <x:xf numFmtId="200" fontId="6" fillId="2" borderId="41" xfId="0" applyNumberFormat="1" applyFont="1" applyFill="1" applyBorder="1" applyAlignment="1">
      <x:alignment horizontal="center" vertical="center"/>
    </x:xf>
    <x:xf numFmtId="200" fontId="6" fillId="2" borderId="41" xfId="0" applyNumberFormat="1" applyFont="1" applyFill="1" applyBorder="1" applyAlignment="1">
      <x:alignment horizontal="left" vertical="center"/>
    </x:xf>
    <x:xf numFmtId="200" fontId="6" fillId="2" borderId="88" xfId="0" applyNumberFormat="1" applyFont="1" applyFill="1" applyBorder="1" applyAlignment="1">
      <x:alignment horizontal="center" vertical="center"/>
    </x:xf>
    <x:xf numFmtId="200" fontId="3" fillId="2" borderId="32" xfId="0" applyNumberFormat="1" applyFont="1" applyFill="1" applyBorder="1" applyAlignment="1">
      <x:alignment horizontal="center" vertical="center"/>
    </x:xf>
    <x:xf numFmtId="200" fontId="7" fillId="2" borderId="32" xfId="0" applyNumberFormat="1" applyFont="1" applyFill="1" applyBorder="1" applyAlignment="1">
      <x:alignment horizontal="center" vertical="center"/>
    </x:xf>
    <x:xf numFmtId="200" fontId="7" fillId="2" borderId="32" xfId="0" applyNumberFormat="1" applyFont="1" applyFill="1" applyBorder="1" applyAlignment="1">
      <x:alignment vertical="center"/>
    </x:xf>
    <x:xf numFmtId="200" fontId="6" fillId="2" borderId="9" xfId="0" applyNumberFormat="1" applyFont="1" applyFill="1" applyBorder="1" applyAlignment="1">
      <x:alignment horizontal="center" vertical="center"/>
    </x:xf>
    <x:xf numFmtId="200" fontId="6" fillId="2" borderId="9" xfId="0" applyNumberFormat="1" applyFont="1" applyFill="1" applyBorder="1" applyAlignment="1">
      <x:alignment horizontal="left" vertical="center"/>
    </x:xf>
    <x:xf numFmtId="200" fontId="6" fillId="2" borderId="6" xfId="0" applyNumberFormat="1" applyFont="1" applyFill="1" applyBorder="1" applyAlignment="1">
      <x:alignment horizontal="center" vertical="center"/>
    </x:xf>
    <x:xf numFmtId="200" fontId="3" fillId="2" borderId="4" xfId="0" applyNumberFormat="1" applyFont="1" applyFill="1" applyBorder="1" applyAlignment="1">
      <x:alignment horizontal="center" vertical="center"/>
    </x:xf>
    <x:xf numFmtId="200" fontId="7" fillId="2" borderId="4" xfId="0" applyNumberFormat="1" applyFont="1" applyFill="1" applyBorder="1" applyAlignment="1">
      <x:alignment vertical="center"/>
    </x:xf>
    <x:xf numFmtId="200" fontId="7" fillId="2" borderId="4" xfId="0" applyNumberFormat="1" applyFont="1" applyFill="1" applyBorder="1" applyAlignment="1">
      <x:alignment horizontal="center" vertical="center"/>
    </x:xf>
    <x:xf numFmtId="200" fontId="3" fillId="2" borderId="67" xfId="0" applyNumberFormat="1" applyFont="1" applyFill="1" applyBorder="1" applyAlignment="1">
      <x:alignment horizontal="center" vertical="center"/>
    </x:xf>
    <x:xf numFmtId="200" fontId="7" fillId="2" borderId="67" xfId="0" applyNumberFormat="1" applyFont="1" applyFill="1" applyBorder="1" applyAlignment="1">
      <x:alignment vertical="center"/>
    </x:xf>
    <x:xf numFmtId="200" fontId="7" fillId="2" borderId="6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left" vertical="center"/>
    </x:xf>
    <x:xf numFmtId="200" fontId="9" fillId="2" borderId="4" xfId="0" applyNumberFormat="1" applyFont="1" applyFill="1" applyBorder="1" applyAlignment="1">
      <x:alignment vertical="center"/>
    </x:xf>
    <x:xf numFmtId="200" fontId="7" fillId="0" borderId="34" xfId="0" applyNumberFormat="1" applyFont="1" applyFill="1" applyBorder="1" applyAlignment="1">
      <x:alignment horizontal="center" vertical="center"/>
    </x:xf>
    <x:xf numFmtId="200" fontId="6" fillId="2" borderId="9" xfId="0" applyNumberFormat="1" applyFont="1" applyFill="1" applyBorder="1" applyAlignment="1">
      <x:alignment vertical="center"/>
    </x:xf>
    <x:xf numFmtId="200" fontId="7" fillId="0" borderId="9" xfId="0" applyNumberFormat="1" applyFont="1" applyFill="1" applyBorder="1" applyAlignment="1">
      <x:alignment horizontal="center" vertical="center"/>
    </x:xf>
    <x:xf numFmtId="200" fontId="6" fillId="2" borderId="69" xfId="0" applyNumberFormat="1" applyFont="1" applyFill="1" applyBorder="1" applyAlignment="1">
      <x:alignment horizontal="center" vertical="center"/>
    </x:xf>
    <x:xf numFmtId="200" fontId="6" fillId="2" borderId="69" xfId="0" applyNumberFormat="1" applyFont="1" applyFill="1" applyBorder="1" applyAlignment="1">
      <x:alignment vertical="center"/>
    </x:xf>
    <x:xf numFmtId="200" fontId="6" fillId="2" borderId="80" xfId="0" applyNumberFormat="1" applyFont="1" applyFill="1" applyBorder="1" applyAlignment="1">
      <x:alignment horizontal="center" vertical="center"/>
    </x:xf>
    <x:xf numFmtId="200" fontId="7" fillId="0" borderId="79" xfId="0" applyNumberFormat="1" applyFont="1" applyFill="1" applyBorder="1" applyAlignment="1">
      <x:alignment horizontal="center" vertical="center"/>
    </x:xf>
    <x:xf numFmtId="200" fontId="7" fillId="0" borderId="69" xfId="0" applyNumberFormat="1" applyFont="1" applyFill="1" applyBorder="1" applyAlignment="1">
      <x:alignment horizontal="center" vertical="center"/>
    </x:xf>
    <x:xf numFmtId="200" fontId="20" fillId="0" borderId="174" xfId="0" applyNumberFormat="1" applyFont="1" applyFill="1" applyBorder="1" applyAlignment="1">
      <x:alignment horizontal="center" vertical="center"/>
    </x:xf>
    <x:xf numFmtId="200" fontId="8" fillId="0" borderId="174" xfId="0" applyNumberFormat="1" applyFont="1" applyFill="1" applyBorder="1" applyAlignment="1">
      <x:alignment horizontal="center" vertical="center"/>
    </x:xf>
    <x:xf numFmtId="200" fontId="20" fillId="0" borderId="181" xfId="0" applyNumberFormat="1" applyFont="1" applyFill="1" applyBorder="1" applyAlignment="1">
      <x:alignment horizontal="center" vertical="center"/>
    </x:xf>
    <x:xf numFmtId="200" fontId="8" fillId="0" borderId="181" xfId="0" applyNumberFormat="1" applyFont="1" applyFill="1" applyBorder="1" applyAlignment="1">
      <x:alignment horizontal="center" vertical="center"/>
    </x:xf>
    <x:xf numFmtId="200" fontId="20" fillId="0" borderId="188" xfId="0" applyNumberFormat="1" applyFont="1" applyFill="1" applyBorder="1" applyAlignment="1">
      <x:alignment horizontal="center" vertical="center"/>
    </x:xf>
    <x:xf numFmtId="200" fontId="20" fillId="0" borderId="189" xfId="0" applyNumberFormat="1" applyFont="1" applyFill="1" applyBorder="1" applyAlignment="1">
      <x:alignment horizontal="center" vertical="center"/>
    </x:xf>
    <x:xf numFmtId="200" fontId="8" fillId="0" borderId="189" xfId="0" applyNumberFormat="1" applyFont="1" applyFill="1" applyBorder="1" applyAlignment="1">
      <x:alignment horizontal="center" vertical="center"/>
    </x:xf>
    <x:xf numFmtId="200" fontId="20" fillId="0" borderId="196" xfId="0" applyNumberFormat="1" applyFont="1" applyFill="1" applyBorder="1" applyAlignment="1">
      <x:alignment horizontal="center" vertical="center"/>
    </x:xf>
    <x:xf numFmtId="200" fontId="8" fillId="0" borderId="196" xfId="0" applyNumberFormat="1" applyFont="1" applyFill="1" applyBorder="1" applyAlignment="1">
      <x:alignment horizontal="center" vertical="center"/>
    </x:xf>
    <x:xf numFmtId="200" fontId="20" fillId="0" borderId="200" xfId="0" applyNumberFormat="1" applyFont="1" applyFill="1" applyBorder="1" applyAlignment="1">
      <x:alignment horizontal="center" vertical="center"/>
    </x:xf>
    <x:xf numFmtId="200" fontId="11" fillId="7" borderId="160" xfId="0" applyNumberFormat="1" applyFont="1" applyFill="1" applyBorder="1" applyAlignment="1">
      <x:alignment horizontal="center" vertical="center"/>
    </x:xf>
    <x:xf numFmtId="200" fontId="7" fillId="2" borderId="149" xfId="0" applyNumberFormat="1" applyFont="1" applyFill="1" applyBorder="1" applyAlignment="1">
      <x:alignment horizontal="center" vertical="center"/>
    </x:xf>
    <x:xf numFmtId="200" fontId="7" fillId="2" borderId="208" xfId="0" applyNumberFormat="1" applyFont="1" applyFill="1" applyBorder="1" applyAlignment="1">
      <x:alignment horizontal="center" vertical="center"/>
    </x:xf>
    <x:xf numFmtId="200" fontId="6" fillId="2" borderId="159" xfId="0" applyNumberFormat="1" applyFont="1" applyFill="1" applyBorder="1" applyAlignment="1">
      <x:alignment horizontal="center" vertical="center"/>
    </x:xf>
    <x:xf numFmtId="200" fontId="6" fillId="2" borderId="159" xfId="0" applyNumberFormat="1" applyFont="1" applyFill="1" applyBorder="1" applyAlignment="1">
      <x:alignment horizontal="left" vertical="center"/>
    </x:xf>
    <x:xf numFmtId="200" fontId="6" fillId="2" borderId="202" xfId="0" applyNumberFormat="1" applyFont="1" applyFill="1" applyBorder="1" applyAlignment="1">
      <x:alignment horizontal="center" vertical="center"/>
    </x:xf>
    <x:xf numFmtId="200" fontId="3" fillId="2" borderId="203" xfId="0" applyNumberFormat="1" applyFont="1" applyFill="1" applyBorder="1" applyAlignment="1">
      <x:alignment horizontal="center" vertical="center"/>
    </x:xf>
    <x:xf numFmtId="200" fontId="7" fillId="2" borderId="203" xfId="0" applyNumberFormat="1" applyFont="1" applyFill="1" applyBorder="1" applyAlignment="1">
      <x:alignment horizontal="center" vertical="center"/>
    </x:xf>
    <x:xf numFmtId="200" fontId="7" fillId="2" borderId="203" xfId="0" applyNumberFormat="1" applyFont="1" applyFill="1" applyBorder="1" applyAlignment="1">
      <x:alignment vertical="center"/>
    </x:xf>
    <x:xf numFmtId="200" fontId="6" fillId="2" borderId="153" xfId="0" applyNumberFormat="1" applyFont="1" applyFill="1" applyBorder="1" applyAlignment="1">
      <x:alignment horizontal="center" vertical="center"/>
    </x:xf>
    <x:xf numFmtId="200" fontId="6" fillId="2" borderId="153" xfId="0" applyNumberFormat="1" applyFont="1" applyFill="1" applyBorder="1" applyAlignment="1">
      <x:alignment horizontal="left" vertical="center"/>
    </x:xf>
    <x:xf numFmtId="200" fontId="6" fillId="2" borderId="154" xfId="0" applyNumberFormat="1" applyFont="1" applyFill="1" applyBorder="1" applyAlignment="1">
      <x:alignment horizontal="center" vertical="center"/>
    </x:xf>
    <x:xf numFmtId="200" fontId="3" fillId="2" borderId="147" xfId="0" applyNumberFormat="1" applyFont="1" applyFill="1" applyBorder="1" applyAlignment="1">
      <x:alignment horizontal="center" vertical="center"/>
    </x:xf>
    <x:xf numFmtId="200" fontId="7" fillId="2" borderId="147" xfId="0" applyNumberFormat="1" applyFont="1" applyFill="1" applyBorder="1" applyAlignment="1">
      <x:alignment vertical="center"/>
    </x:xf>
    <x:xf numFmtId="200" fontId="7" fillId="2" borderId="147" xfId="0" applyNumberFormat="1" applyFont="1" applyFill="1" applyBorder="1" applyAlignment="1">
      <x:alignment horizontal="center" vertical="center"/>
    </x:xf>
    <x:xf numFmtId="200" fontId="3" fillId="2" borderId="165" xfId="0" applyNumberFormat="1" applyFont="1" applyFill="1" applyBorder="1" applyAlignment="1">
      <x:alignment horizontal="center" vertical="center"/>
    </x:xf>
    <x:xf numFmtId="200" fontId="7" fillId="2" borderId="165" xfId="0" applyNumberFormat="1" applyFont="1" applyFill="1" applyBorder="1" applyAlignment="1">
      <x:alignment vertical="center"/>
    </x:xf>
    <x:xf numFmtId="200" fontId="7" fillId="2" borderId="165" xfId="0" applyNumberFormat="1" applyFont="1" applyFill="1" applyBorder="1" applyAlignment="1">
      <x:alignment horizontal="center" vertical="center"/>
    </x:xf>
    <x:xf numFmtId="200" fontId="3" fillId="0" borderId="147" xfId="0" applyNumberFormat="1" applyFont="1" applyFill="1" applyBorder="1" applyAlignment="1">
      <x:alignment horizontal="left" vertical="center"/>
    </x:xf>
    <x:xf numFmtId="200" fontId="9" fillId="2" borderId="147" xfId="0" applyNumberFormat="1" applyFont="1" applyFill="1" applyBorder="1" applyAlignment="1">
      <x:alignment vertical="center"/>
    </x:xf>
    <x:xf numFmtId="200" fontId="7" fillId="0" borderId="156" xfId="0" applyNumberFormat="1" applyFont="1" applyFill="1" applyBorder="1" applyAlignment="1">
      <x:alignment horizontal="center" vertical="center"/>
    </x:xf>
    <x:xf numFmtId="200" fontId="6" fillId="2" borderId="153" xfId="0" applyNumberFormat="1" applyFont="1" applyFill="1" applyBorder="1" applyAlignment="1">
      <x:alignment vertical="center"/>
    </x:xf>
    <x:xf numFmtId="200" fontId="7" fillId="0" borderId="153" xfId="0" applyNumberFormat="1" applyFont="1" applyFill="1" applyBorder="1" applyAlignment="1">
      <x:alignment horizontal="center" vertical="center"/>
    </x:xf>
    <x:xf numFmtId="200" fontId="6" fillId="2" borderId="204" xfId="0" applyNumberFormat="1" applyFont="1" applyFill="1" applyBorder="1" applyAlignment="1">
      <x:alignment horizontal="center" vertical="center"/>
    </x:xf>
    <x:xf numFmtId="200" fontId="6" fillId="2" borderId="204" xfId="0" applyNumberFormat="1" applyFont="1" applyFill="1" applyBorder="1" applyAlignment="1">
      <x:alignment vertical="center"/>
    </x:xf>
    <x:xf numFmtId="200" fontId="6" fillId="2" borderId="205" xfId="0" applyNumberFormat="1" applyFont="1" applyFill="1" applyBorder="1" applyAlignment="1">
      <x:alignment horizontal="center" vertical="center"/>
    </x:xf>
    <x:xf numFmtId="200" fontId="7" fillId="0" borderId="208" xfId="0" applyNumberFormat="1" applyFont="1" applyFill="1" applyBorder="1" applyAlignment="1">
      <x:alignment horizontal="center" vertical="center"/>
    </x:xf>
    <x:xf numFmtId="200" fontId="7" fillId="0" borderId="204" xfId="0" applyNumberFormat="1" applyFont="1" applyFill="1" applyBorder="1" applyAlignment="1">
      <x:alignment horizontal="center" vertical="center"/>
    </x:xf>
    <x:xf numFmtId="0" fontId="9" fillId="0" borderId="12" xfId="0" applyNumberFormat="1" applyFont="1" applyFill="1" applyBorder="1" applyAlignment="1">
      <x:alignment horizontal="center" vertical="center" wrapText="1"/>
    </x:xf>
    <x:xf numFmtId="49" fontId="6" fillId="0" borderId="34" xfId="0" applyNumberFormat="1" applyFont="1" applyFill="1" applyBorder="1" applyAlignment="1">
      <x:alignment horizontal="center" vertical="center" wrapText="1"/>
    </x:xf>
    <x:xf numFmtId="49" fontId="6" fillId="0" borderId="9" xfId="0" applyNumberFormat="1" applyFont="1" applyFill="1" applyBorder="1" applyAlignment="1">
      <x:alignment horizontal="center" vertical="center" wrapText="1"/>
    </x:xf>
    <x:xf numFmtId="49" fontId="6" fillId="0" borderId="6" xfId="0" applyNumberFormat="1" applyFont="1" applyFill="1" applyBorder="1" applyAlignment="1">
      <x:alignment horizontal="center" vertical="center" wrapText="1"/>
    </x:xf>
    <x:xf numFmtId="49" fontId="15" fillId="0" borderId="34" xfId="0" applyNumberFormat="1" applyFont="1" applyFill="1" applyBorder="1" applyAlignment="1">
      <x:alignment horizontal="center" vertical="center" wrapText="1"/>
    </x:xf>
    <x:xf numFmtId="49" fontId="15" fillId="0" borderId="6" xfId="0" applyNumberFormat="1" applyFont="1" applyFill="1" applyBorder="1" applyAlignment="1">
      <x:alignment horizontal="center" vertical="center" wrapText="1"/>
    </x:xf>
    <x:xf numFmtId="49" fontId="15" fillId="0" borderId="67" xfId="0" applyNumberFormat="1" applyFont="1" applyFill="1" applyBorder="1" applyAlignment="1">
      <x:alignment horizontal="center" vertical="center" wrapText="1"/>
    </x:xf>
    <x:xf numFmtId="49" fontId="9" fillId="0" borderId="4" xfId="0" applyNumberFormat="1" applyFont="1" applyFill="1" applyBorder="1" applyAlignment="1">
      <x:alignment horizontal="center" vertical="center" wrapText="1"/>
    </x:xf>
    <x:xf numFmtId="49" fontId="9" fillId="0" borderId="34" xfId="0" applyNumberFormat="1" applyFont="1" applyFill="1" applyBorder="1" applyAlignment="1">
      <x:alignment horizontal="center" vertical="center" wrapText="1"/>
    </x:xf>
    <x:xf numFmtId="49" fontId="9" fillId="0" borderId="6" xfId="0" applyNumberFormat="1" applyFont="1" applyFill="1" applyBorder="1" applyAlignment="1">
      <x:alignment horizontal="center" vertical="center" wrapText="1"/>
    </x:xf>
    <x:xf numFmtId="49" fontId="27" fillId="0" borderId="4" xfId="0" applyNumberFormat="1" applyFont="1" applyFill="1" applyBorder="1" applyAlignment="1">
      <x:alignment horizontal="center" vertical="center" wrapText="1"/>
    </x:xf>
    <x:xf numFmtId="49" fontId="7" fillId="0" borderId="59" xfId="0" applyNumberFormat="1" applyFont="1" applyFill="1" applyBorder="1" applyAlignment="1">
      <x:alignment horizontal="center" vertical="center" wrapText="1"/>
    </x:xf>
    <x:xf numFmtId="49" fontId="7" fillId="0" borderId="5" xfId="0" applyNumberFormat="1" applyFont="1" applyFill="1" applyBorder="1" applyAlignment="1">
      <x:alignment horizontal="center" vertical="center" wrapText="1"/>
    </x:xf>
    <x:xf numFmtId="49" fontId="9" fillId="0" borderId="67" xfId="0" applyNumberFormat="1" applyFont="1" applyFill="1" applyBorder="1" applyAlignment="1">
      <x:alignment horizontal="center" vertical="center" wrapText="1"/>
    </x:xf>
    <x:xf numFmtId="49" fontId="7" fillId="0" borderId="67" xfId="0" applyNumberFormat="1" applyFont="1" applyFill="1" applyBorder="1" applyAlignment="1">
      <x:alignment horizontal="center" vertical="center" wrapText="1"/>
    </x:xf>
    <x:xf numFmtId="49" fontId="9" fillId="0" borderId="9" xfId="0" applyNumberFormat="1" applyFont="1" applyFill="1" applyBorder="1" applyAlignment="1">
      <x:alignment horizontal="center" vertical="center" wrapText="1"/>
    </x:xf>
    <x:xf numFmtId="49" fontId="9" fillId="0" borderId="39" xfId="0" applyNumberFormat="1" applyFont="1" applyFill="1" applyBorder="1" applyAlignment="1">
      <x:alignment horizontal="center" vertical="center" wrapText="1"/>
    </x:xf>
    <x:xf numFmtId="0" fontId="9" fillId="0" borderId="100" xfId="0" applyNumberFormat="1" applyFont="1" applyFill="1" applyBorder="1" applyAlignment="1">
      <x:alignment horizontal="center" vertical="center" wrapText="1"/>
    </x:xf>
    <x:xf numFmtId="0" fontId="7" fillId="0" borderId="101" xfId="0" applyNumberFormat="1" applyFont="1" applyFill="1" applyBorder="1" applyAlignment="1">
      <x:alignment horizontal="center" vertical="center" wrapText="1"/>
    </x:xf>
    <x:xf numFmtId="0" fontId="7" fillId="0" borderId="102" xfId="0" applyNumberFormat="1" applyFont="1" applyFill="1" applyBorder="1" applyAlignment="1">
      <x:alignment horizontal="center" vertical="center" wrapText="1"/>
    </x:xf>
    <x:xf numFmtId="49" fontId="7" fillId="0" borderId="102" xfId="0" applyNumberFormat="1" applyFont="1" applyFill="1" applyBorder="1" applyAlignment="1">
      <x:alignment horizontal="center" vertical="center" wrapText="1"/>
    </x:xf>
    <x:xf numFmtId="0" fontId="7" fillId="0" borderId="103" xfId="0" applyNumberFormat="1" applyFont="1" applyFill="1" applyBorder="1" applyAlignment="1">
      <x:alignment horizontal="center" vertical="center" wrapText="1"/>
    </x:xf>
    <x:xf numFmtId="49" fontId="7" fillId="0" borderId="101" xfId="0" applyNumberFormat="1" applyFont="1" applyFill="1" applyBorder="1" applyAlignment="1">
      <x:alignment horizontal="center" vertical="center" wrapText="1"/>
    </x:xf>
    <x:xf numFmtId="49" fontId="7" fillId="0" borderId="103" xfId="0" applyNumberFormat="1" applyFont="1" applyFill="1" applyBorder="1" applyAlignment="1">
      <x:alignment horizontal="center" vertical="center" wrapText="1"/>
    </x:xf>
    <x:xf numFmtId="49" fontId="15" fillId="0" borderId="60" xfId="0" applyNumberFormat="1" applyFont="1" applyFill="1" applyBorder="1" applyAlignment="1">
      <x:alignment horizontal="center" vertical="center" wrapText="1"/>
    </x:xf>
    <x:xf numFmtId="49" fontId="19" fillId="0" borderId="67" xfId="0" applyNumberFormat="1" applyFont="1" applyFill="1" applyBorder="1" applyAlignment="1">
      <x:alignment horizontal="center" vertical="center" wrapText="1"/>
    </x:xf>
    <x:xf numFmtId="49" fontId="7" fillId="0" borderId="57" xfId="0" applyNumberFormat="1" applyFont="1" applyFill="1" applyBorder="1" applyAlignment="1">
      <x:alignment horizontal="center" vertical="center" wrapText="1"/>
    </x:xf>
    <x:xf numFmtId="49" fontId="7" fillId="0" borderId="0" xfId="0" applyNumberFormat="1" applyFont="1" applyFill="1" applyBorder="1" applyAlignment="1">
      <x:alignment horizontal="center" vertical="center" wrapText="1"/>
    </x:xf>
    <x:xf numFmtId="49" fontId="9" fillId="0" borderId="60" xfId="0" applyNumberFormat="1" applyFont="1" applyFill="1" applyBorder="1" applyAlignment="1">
      <x:alignment horizontal="center" vertical="center" wrapText="1"/>
    </x:xf>
    <x:xf numFmtId="49" fontId="7" fillId="0" borderId="60" xfId="0" applyNumberFormat="1" applyFont="1" applyFill="1" applyBorder="1" applyAlignment="1">
      <x:alignment horizontal="center" vertical="center" wrapText="1"/>
    </x:xf>
    <x:xf numFmtId="49" fontId="6" fillId="0" borderId="5" xfId="0" applyNumberFormat="1" applyFont="1" applyFill="1" applyBorder="1" applyAlignment="1">
      <x:alignment horizontal="center" vertical="center" wrapText="1"/>
    </x:xf>
    <x:xf numFmtId="49" fontId="6" fillId="0" borderId="14" xfId="0" applyNumberFormat="1" applyFont="1" applyFill="1" applyBorder="1" applyAlignment="1">
      <x:alignment horizontal="center" vertical="center" wrapText="1"/>
    </x:xf>
    <x:xf numFmtId="0" fontId="9" fillId="0" borderId="89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49" fontId="7" fillId="0" borderId="2" xfId="0" applyNumberFormat="1" applyFont="1" applyFill="1" applyBorder="1" applyAlignment="1">
      <x:alignment horizontal="center" vertical="center" wrapText="1"/>
    </x:xf>
    <x:xf numFmtId="0" fontId="7" fillId="0" borderId="26" xfId="0" applyNumberFormat="1" applyFont="1" applyFill="1" applyBorder="1" applyAlignment="1">
      <x:alignment horizontal="center" vertical="center" wrapText="1"/>
    </x:xf>
    <x:xf numFmtId="49" fontId="7" fillId="0" borderId="32" xfId="0" applyNumberFormat="1" applyFont="1" applyFill="1" applyBorder="1" applyAlignment="1">
      <x:alignment horizontal="center" vertical="center" wrapText="1"/>
    </x:xf>
    <x:xf numFmtId="49" fontId="7" fillId="0" borderId="3" xfId="0" applyNumberFormat="1" applyFont="1" applyFill="1" applyBorder="1" applyAlignment="1">
      <x:alignment horizontal="center" vertical="center" wrapText="1"/>
    </x:xf>
    <x:xf numFmtId="49" fontId="7" fillId="0" borderId="26" xfId="0" applyNumberFormat="1" applyFont="1" applyFill="1" applyBorder="1" applyAlignment="1">
      <x:alignment horizontal="center" vertical="center" wrapText="1"/>
    </x:xf>
    <x:xf numFmtId="49" fontId="15" fillId="0" borderId="32" xfId="0" applyNumberFormat="1" applyFont="1" applyFill="1" applyBorder="1" applyAlignment="1">
      <x:alignment horizontal="center" vertical="center" wrapText="1"/>
    </x:xf>
    <x:xf numFmtId="49" fontId="19" fillId="0" borderId="32" xfId="0" applyNumberFormat="1" applyFont="1" applyFill="1" applyBorder="1" applyAlignment="1">
      <x:alignment horizontal="center" vertical="center" wrapText="1"/>
    </x:xf>
    <x:xf numFmtId="49" fontId="7" fillId="0" borderId="58" xfId="0" applyNumberFormat="1" applyFont="1" applyFill="1" applyBorder="1" applyAlignment="1">
      <x:alignment horizontal="center" vertical="center" wrapText="1"/>
    </x:xf>
    <x:xf numFmtId="49" fontId="7" fillId="0" borderId="71" xfId="0" applyNumberFormat="1" applyFont="1" applyFill="1" applyBorder="1" applyAlignment="1">
      <x:alignment horizontal="center" vertical="center" wrapText="1"/>
    </x:xf>
    <x:xf numFmtId="49" fontId="9" fillId="0" borderId="32" xfId="0" applyNumberFormat="1" applyFont="1" applyFill="1" applyBorder="1" applyAlignment="1">
      <x:alignment horizontal="center" vertical="center" wrapText="1"/>
    </x:xf>
    <x:xf numFmtId="49" fontId="6" fillId="0" borderId="71" xfId="0" applyNumberFormat="1" applyFont="1" applyFill="1" applyBorder="1" applyAlignment="1">
      <x:alignment horizontal="center" vertical="center" wrapText="1"/>
    </x:xf>
    <x:xf numFmtId="49" fontId="6" fillId="0" borderId="36" xfId="0" applyNumberFormat="1" applyFont="1" applyFill="1" applyBorder="1" applyAlignment="1">
      <x:alignment horizontal="center" vertical="center" wrapText="1"/>
    </x:xf>
    <x:xf numFmtId="49" fontId="6" fillId="0" borderId="156" xfId="0" applyNumberFormat="1" applyFont="1" applyFill="1" applyBorder="1" applyAlignment="1">
      <x:alignment horizontal="center" vertical="center" wrapText="1"/>
    </x:xf>
    <x:xf numFmtId="49" fontId="6" fillId="0" borderId="153" xfId="0" applyNumberFormat="1" applyFont="1" applyFill="1" applyBorder="1" applyAlignment="1">
      <x:alignment horizontal="center" vertical="center" wrapText="1"/>
    </x:xf>
    <x:xf numFmtId="49" fontId="6" fillId="0" borderId="154" xfId="0" applyNumberFormat="1" applyFont="1" applyFill="1" applyBorder="1" applyAlignment="1">
      <x:alignment horizontal="center" vertical="center" wrapText="1"/>
    </x:xf>
    <x:xf numFmtId="49" fontId="15" fillId="0" borderId="156" xfId="0" applyNumberFormat="1" applyFont="1" applyFill="1" applyBorder="1" applyAlignment="1">
      <x:alignment horizontal="center" vertical="center" wrapText="1"/>
    </x:xf>
    <x:xf numFmtId="49" fontId="15" fillId="0" borderId="154" xfId="0" applyNumberFormat="1" applyFont="1" applyFill="1" applyBorder="1" applyAlignment="1">
      <x:alignment horizontal="center" vertical="center" wrapText="1"/>
    </x:xf>
    <x:xf numFmtId="49" fontId="7" fillId="0" borderId="232" xfId="0" applyNumberFormat="1" applyFont="1" applyFill="1" applyBorder="1" applyAlignment="1">
      <x:alignment horizontal="center" vertical="center" wrapText="1"/>
    </x:xf>
    <x:xf numFmtId="49" fontId="7" fillId="0" borderId="164" xfId="0" applyNumberFormat="1" applyFont="1" applyFill="1" applyBorder="1" applyAlignment="1">
      <x:alignment horizontal="center" vertical="center" wrapText="1"/>
    </x:xf>
    <x:xf numFmtId="49" fontId="7" fillId="0" borderId="165" xfId="0" applyNumberFormat="1" applyFont="1" applyFill="1" applyBorder="1" applyAlignment="1">
      <x:alignment horizontal="center" vertical="center" wrapText="1"/>
    </x:xf>
    <x:xf numFmtId="49" fontId="9" fillId="0" borderId="153" xfId="0" applyNumberFormat="1" applyFont="1" applyFill="1" applyBorder="1" applyAlignment="1">
      <x:alignment horizontal="center" vertical="center" wrapText="1"/>
    </x:xf>
    <x:xf numFmtId="49" fontId="9" fillId="0" borderId="235" xfId="0" applyNumberFormat="1" applyFont="1" applyFill="1" applyBorder="1" applyAlignment="1">
      <x:alignment horizontal="center" vertical="center" wrapText="1"/>
    </x:xf>
    <x:xf numFmtId="0" fontId="7" fillId="0" borderId="242" xfId="0" applyNumberFormat="1" applyFont="1" applyFill="1" applyBorder="1" applyAlignment="1">
      <x:alignment horizontal="center" vertical="center" wrapText="1"/>
    </x:xf>
    <x:xf numFmtId="0" fontId="7" fillId="0" borderId="219" xfId="0" applyNumberFormat="1" applyFont="1" applyFill="1" applyBorder="1" applyAlignment="1">
      <x:alignment horizontal="center" vertical="center" wrapText="1"/>
    </x:xf>
    <x:xf numFmtId="49" fontId="7" fillId="0" borderId="219" xfId="0" applyNumberFormat="1" applyFont="1" applyFill="1" applyBorder="1" applyAlignment="1">
      <x:alignment horizontal="center" vertical="center" wrapText="1"/>
    </x:xf>
    <x:xf numFmtId="0" fontId="7" fillId="0" borderId="227" xfId="0" applyNumberFormat="1" applyFont="1" applyFill="1" applyBorder="1" applyAlignment="1">
      <x:alignment horizontal="center" vertical="center" wrapText="1"/>
    </x:xf>
    <x:xf numFmtId="49" fontId="7" fillId="0" borderId="242" xfId="0" applyNumberFormat="1" applyFont="1" applyFill="1" applyBorder="1" applyAlignment="1">
      <x:alignment horizontal="center" vertical="center" wrapText="1"/>
    </x:xf>
    <x:xf numFmtId="49" fontId="7" fillId="0" borderId="227" xfId="0" applyNumberFormat="1" applyFont="1" applyFill="1" applyBorder="1" applyAlignment="1">
      <x:alignment horizontal="center" vertical="center" wrapText="1"/>
    </x:xf>
    <x:xf numFmtId="49" fontId="7" fillId="0" borderId="206" xfId="0" applyNumberFormat="1" applyFont="1" applyFill="1" applyBorder="1" applyAlignment="1">
      <x:alignment horizontal="center" vertical="center" wrapText="1"/>
    </x:xf>
    <x:xf numFmtId="49" fontId="7" fillId="0" borderId="144" xfId="0" applyNumberFormat="1" applyFont="1" applyFill="1" applyBorder="1" applyAlignment="1">
      <x:alignment horizontal="center" vertical="center" wrapText="1"/>
    </x:xf>
    <x:xf numFmtId="49" fontId="7" fillId="0" borderId="158" xfId="0" applyNumberFormat="1" applyFont="1" applyFill="1" applyBorder="1" applyAlignment="1">
      <x:alignment horizontal="center" vertical="center" wrapText="1"/>
    </x:xf>
    <x:xf numFmtId="49" fontId="6" fillId="0" borderId="164" xfId="0" applyNumberFormat="1" applyFont="1" applyFill="1" applyBorder="1" applyAlignment="1">
      <x:alignment horizontal="center" vertical="center" wrapText="1"/>
    </x:xf>
    <x:xf numFmtId="49" fontId="6" fillId="0" borderId="236" xfId="0" applyNumberFormat="1" applyFont="1" applyFill="1" applyBorder="1" applyAlignment="1">
      <x:alignment horizontal="center" vertical="center" wrapText="1"/>
    </x:xf>
    <x:xf numFmtId="0" fontId="7" fillId="0" borderId="243" xfId="0" applyNumberFormat="1" applyFont="1" applyFill="1" applyBorder="1" applyAlignment="1">
      <x:alignment horizontal="center" vertical="center" wrapText="1"/>
    </x:xf>
    <x:xf numFmtId="0" fontId="7" fillId="0" borderId="220" xfId="0" applyNumberFormat="1" applyFont="1" applyFill="1" applyBorder="1" applyAlignment="1">
      <x:alignment horizontal="center" vertical="center" wrapText="1"/>
    </x:xf>
    <x:xf numFmtId="49" fontId="7" fillId="0" borderId="220" xfId="0" applyNumberFormat="1" applyFont="1" applyFill="1" applyBorder="1" applyAlignment="1">
      <x:alignment horizontal="center" vertical="center" wrapText="1"/>
    </x:xf>
    <x:xf numFmtId="0" fontId="7" fillId="0" borderId="228" xfId="0" applyNumberFormat="1" applyFont="1" applyFill="1" applyBorder="1" applyAlignment="1">
      <x:alignment horizontal="center" vertical="center" wrapText="1"/>
    </x:xf>
    <x:xf numFmtId="49" fontId="7" fillId="0" borderId="203" xfId="0" applyNumberFormat="1" applyFont="1" applyFill="1" applyBorder="1" applyAlignment="1">
      <x:alignment horizontal="center" vertical="center" wrapText="1"/>
    </x:xf>
    <x:xf numFmtId="49" fontId="7" fillId="0" borderId="243" xfId="0" applyNumberFormat="1" applyFont="1" applyFill="1" applyBorder="1" applyAlignment="1">
      <x:alignment horizontal="center" vertical="center" wrapText="1"/>
    </x:xf>
    <x:xf numFmtId="49" fontId="7" fillId="0" borderId="228" xfId="0" applyNumberFormat="1" applyFont="1" applyFill="1" applyBorder="1" applyAlignment="1">
      <x:alignment horizontal="center" vertical="center" wrapText="1"/>
    </x:xf>
    <x:xf numFmtId="49" fontId="7" fillId="0" borderId="233" xfId="0" applyNumberFormat="1" applyFont="1" applyFill="1" applyBorder="1" applyAlignment="1">
      <x:alignment horizontal="center" vertical="center" wrapText="1"/>
    </x:xf>
    <x:xf numFmtId="49" fontId="7" fillId="0" borderId="234" xfId="0" applyNumberFormat="1" applyFont="1" applyFill="1" applyBorder="1" applyAlignment="1">
      <x:alignment horizontal="center" vertical="center" wrapText="1"/>
    </x:xf>
    <x:xf numFmtId="49" fontId="6" fillId="0" borderId="234" xfId="0" applyNumberFormat="1" applyFont="1" applyFill="1" applyBorder="1" applyAlignment="1">
      <x:alignment horizontal="center" vertical="center" wrapText="1"/>
    </x:xf>
    <x:xf numFmtId="49" fontId="6" fillId="0" borderId="237" xfId="0" applyNumberFormat="1" applyFont="1" applyFill="1" applyBorder="1" applyAlignment="1">
      <x:alignment horizontal="center" vertical="center" wrapText="1"/>
    </x:xf>
    <x:xf numFmtId="201" fontId="8" fillId="2" borderId="41" xfId="0" applyNumberFormat="1" applyFont="1" applyFill="1" applyBorder="1" applyAlignment="1">
      <x:alignment horizontal="center" vertical="center"/>
    </x:xf>
    <x:xf numFmtId="201" fontId="8" fillId="2" borderId="159" xfId="0" applyNumberFormat="1" applyFont="1" applyFill="1" applyBorder="1" applyAlignment="1">
      <x:alignment horizontal="center" vertical="center"/>
    </x:xf>
    <x:xf numFmtId="200" fontId="7" fillId="0" borderId="49" xfId="0" applyNumberFormat="1" applyFont="1" applyFill="1" applyBorder="1" applyAlignment="1">
      <x:alignment horizontal="center" vertical="center"/>
    </x:xf>
    <x:xf numFmtId="200" fontId="7" fillId="0" borderId="48" xfId="0" applyNumberFormat="1" applyFont="1" applyFill="1" applyBorder="1" applyAlignment="1">
      <x:alignment horizontal="center" vertical="center"/>
    </x:xf>
    <x:xf numFmtId="200" fontId="7" fillId="0" borderId="50" xfId="0" applyNumberFormat="1" applyFont="1" applyFill="1" applyBorder="1" applyAlignment="1">
      <x:alignment horizontal="center" vertical="center"/>
    </x:xf>
    <x:xf numFmtId="200" fontId="7" fillId="0" borderId="45" xfId="0" applyNumberFormat="1" applyFont="1" applyFill="1" applyBorder="1" applyAlignment="1">
      <x:alignment horizontal="center" vertical="center"/>
    </x:xf>
    <x:xf numFmtId="200" fontId="7" fillId="0" borderId="21" xfId="0" applyNumberFormat="1" applyFont="1" applyFill="1" applyBorder="1" applyAlignment="1">
      <x:alignment horizontal="center" vertical="center"/>
    </x:xf>
    <x:xf numFmtId="200" fontId="7" fillId="0" borderId="4" xfId="0" applyNumberFormat="1" applyFont="1" applyFill="1" applyBorder="1" applyAlignment="1">
      <x:alignment horizontal="center" vertical="center"/>
    </x:xf>
    <x:xf numFmtId="200" fontId="0" fillId="0" borderId="81" xfId="0" applyNumberFormat="1" applyFont="1" applyFill="1" applyBorder="1" applyAlignment="1">
      <x:alignment horizontal="left" vertical="center"/>
    </x:xf>
    <x:xf numFmtId="200" fontId="7" fillId="0" borderId="27" xfId="0" applyNumberFormat="1" applyFont="1" applyFill="1" applyBorder="1" applyAlignment="1">
      <x:alignment horizontal="center" vertical="center"/>
    </x:xf>
    <x:xf numFmtId="200" fontId="0" fillId="0" borderId="82" xfId="0" applyNumberFormat="1" applyFont="1" applyFill="1" applyBorder="1" applyAlignment="1">
      <x:alignment horizontal="left" vertical="center"/>
    </x:xf>
  </x:cellXfs>
  <x:cellStyles count="7">
    <x:cellStyle name="Besuchter Hyperlink" xfId="4"/>
    <x:cellStyle name="Besuchter Hyperlink" xfId="2"/>
    <x:cellStyle name="Excel Built-in Normal" xfId="1"/>
    <x:cellStyle name="Link" xfId="5"/>
    <x:cellStyle name="Link" xfId="3"/>
    <x:cellStyle name="Standard" xfId="0"/>
    <x:cellStyle name="Standard 3" xfId="6"/>
  </x:cellStyles>
  <x:dxfs count="52"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DCDCDC"/>
      <x:rgbColor rgb="00696969"/>
      <x:rgbColor rgb="00C000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1bd0cd30ba4fa6" /><Relationship Type="http://schemas.openxmlformats.org/officeDocument/2006/relationships/theme" Target="/xl/theme/theme1.xml" Id="Re7ca40fa9d2a4a75" /><Relationship Type="http://schemas.openxmlformats.org/officeDocument/2006/relationships/sharedStrings" Target="/xl/sharedStrings.xml" Id="R3e720ee472f34f10" /><Relationship Type="http://schemas.openxmlformats.org/officeDocument/2006/relationships/worksheet" Target="/xl/worksheets/sheet1.xml" Id="Rd6e79b2a72534d28" /><Relationship Type="http://schemas.openxmlformats.org/officeDocument/2006/relationships/worksheet" Target="/xl/worksheets/sheet2.xml" Id="R5500dd0599ab40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6f2a40299dd4173" /><Relationship Type="http://schemas.openxmlformats.org/officeDocument/2006/relationships/image" Target="/xl/media/image2.png" Id="Rd03249438978425c" /></Relationships>
</file>

<file path=xl/drawings/drawing1.xml><?xml version="1.0" encoding="utf-8"?>
<xdr:wsDr xmlns:xdr="http://schemas.openxmlformats.org/drawingml/2006/spreadsheetDrawing">
  <xdr:twoCellAnchor editAs="oneCell">
    <xdr:from>
      <xdr:col>16</xdr:col>
      <xdr:colOff>190500</xdr:colOff>
      <xdr:row>0</xdr:row>
      <xdr:rowOff>22412</xdr:rowOff>
    </xdr:from>
    <xdr:to>
      <xdr:col>21</xdr:col>
      <xdr:colOff>0</xdr:colOff>
      <xdr:row>0</xdr:row>
      <xdr:rowOff>1333500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f2a40299dd41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56029</xdr:colOff>
      <xdr:row>0</xdr:row>
      <xdr:rowOff>392207</xdr:rowOff>
    </xdr:from>
    <xdr:to>
      <xdr:col>15</xdr:col>
      <xdr:colOff>448234</xdr:colOff>
      <xdr:row>0</xdr:row>
      <xdr:rowOff>1322294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324943897842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3</xdr:col>
      <xdr:colOff>628651</xdr:colOff>
      <xdr:row>30</xdr:row>
      <xdr:rowOff>133350</xdr:rowOff>
    </xdr:from>
    <xdr:to>
      <xdr:col>3</xdr:col>
      <xdr:colOff>923925</xdr:colOff>
      <xdr:row>30</xdr:row>
      <xdr:rowOff>295276</xdr:rowOff>
    </xdr:to>
    <xdr:sp>
      <xdr:nvSpPr>
        <xdr:cNvPr id="1" name="Rectangl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391026" y="7324725"/>
          <a:ext cx="295274" cy="161926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  <xdr:txBody>
        <a:bodyPr xmlns:a="http://schemas.openxmlformats.org/drawingml/2006/main" wrap="square" lIns="27432" tIns="22860" rIns="27432" bIns="0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1000" b="1" i="0">
              <a:solidFill>
                <a:srgbClr val="000000"/>
              </a:solidFill>
              <a:latin typeface="Arial"/>
              <a:ea typeface="Arial"/>
              <a:cs typeface="Arial"/>
            </a:rPr>
            <a:t>ee</a:t>
          </a:r>
          <a:endParaRPr/>
        </a:p>
      </xdr:txBody>
    </xdr:sp>
    <xdr:clientData/>
  </xdr:twoCellAnchor>
  <xdr:twoCellAnchor editAs="oneCell">
    <xdr:from>
      <xdr:col>4</xdr:col>
      <xdr:colOff>485775</xdr:colOff>
      <xdr:row>36</xdr:row>
      <xdr:rowOff>57149</xdr:rowOff>
    </xdr:from>
    <xdr:to>
      <xdr:col>4</xdr:col>
      <xdr:colOff>619125</xdr:colOff>
      <xdr:row>36</xdr:row>
      <xdr:rowOff>266698</xdr:rowOff>
    </xdr:to>
    <xdr:sp>
      <xdr:nvSpPr>
        <xdr:cNvPr id="2" name="Line 5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5162550" y="9048749"/>
          <a:ext cx="133350" cy="20954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000000"/>
          </a:solidFill>
          <a:round/>
        </a:ln>
      </xdr:spPr>
    </xdr:sp>
    <xdr:clientData/>
  </xdr:twoCellAnchor>
  <xdr:twoCellAnchor editAs="oneCell">
    <xdr:from>
      <xdr:col>0</xdr:col>
      <xdr:colOff>9525</xdr:colOff>
      <xdr:row>27</xdr:row>
      <xdr:rowOff>361949</xdr:rowOff>
    </xdr:from>
    <xdr:to>
      <xdr:col>5</xdr:col>
      <xdr:colOff>0</xdr:colOff>
      <xdr:row>35</xdr:row>
      <xdr:rowOff>9523</xdr:rowOff>
    </xdr:to>
    <xdr:sp>
      <xdr:nvSpPr>
        <xdr:cNvPr id="3" name="Line 5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771525" y="6591299"/>
          <a:ext cx="5476875" cy="209549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000000"/>
          </a:solidFill>
          <a:round/>
        </a:ln>
      </xdr:spPr>
    </xdr:sp>
    <xdr:clientData/>
  </xdr:twoCellAnchor>
  <xdr:twoCellAnchor editAs="oneCell">
    <xdr:from>
      <xdr:col>4</xdr:col>
      <xdr:colOff>419100</xdr:colOff>
      <xdr:row>26</xdr:row>
      <xdr:rowOff>152400</xdr:rowOff>
    </xdr:from>
    <xdr:to>
      <xdr:col>4</xdr:col>
      <xdr:colOff>514350</xdr:colOff>
      <xdr:row>26</xdr:row>
      <xdr:rowOff>352425</xdr:rowOff>
    </xdr:to>
    <xdr:sp>
      <xdr:nvSpPr>
        <xdr:cNvPr id="4" name="Line 7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5905500" y="5924550"/>
          <a:ext cx="95250" cy="20002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000000"/>
          </a:solidFill>
          <a:round/>
        </a:ln>
      </xdr:spPr>
    </xdr:sp>
    <xdr:clientData/>
  </xdr:twoCellAnchor>
  <xdr:twoCellAnchor editAs="oneCell">
    <xdr:from>
      <xdr:col>3</xdr:col>
      <xdr:colOff>47625</xdr:colOff>
      <xdr:row>21</xdr:row>
      <xdr:rowOff>0</xdr:rowOff>
    </xdr:from>
    <xdr:to>
      <xdr:col>3</xdr:col>
      <xdr:colOff>276226</xdr:colOff>
      <xdr:row>22</xdr:row>
      <xdr:rowOff>1</xdr:rowOff>
    </xdr:to>
    <xdr:sp>
      <xdr:nvSpPr>
        <xdr:cNvPr id="5" name="Oval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905250" y="4743450"/>
          <a:ext cx="228601" cy="161926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</a:ln>
      </xdr:spPr>
      <xdr:txBody>
        <a:bodyPr xmlns:a="http://schemas.openxmlformats.org/drawingml/2006/main" wrap="square" lIns="27432" tIns="22860" rIns="0" bIns="0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800" b="1" i="0">
              <a:solidFill>
                <a:srgbClr val="000000"/>
              </a:solidFill>
              <a:latin typeface="Arial"/>
              <a:ea typeface="Arial"/>
              <a:cs typeface="Arial"/>
            </a:rPr>
            <a:t>K</a:t>
          </a:r>
          <a:endParaRPr/>
        </a:p>
      </xdr:txBody>
    </xdr:sp>
    <xdr:clientData/>
  </xdr:twoCellAnchor>
  <xdr:twoCellAnchor editAs="oneCell">
    <xdr:from>
      <xdr:col>3</xdr:col>
      <xdr:colOff>342900</xdr:colOff>
      <xdr:row>21</xdr:row>
      <xdr:rowOff>0</xdr:rowOff>
    </xdr:from>
    <xdr:to>
      <xdr:col>3</xdr:col>
      <xdr:colOff>571501</xdr:colOff>
      <xdr:row>22</xdr:row>
      <xdr:rowOff>1</xdr:rowOff>
    </xdr:to>
    <xdr:sp>
      <xdr:nvSpPr>
        <xdr:cNvPr id="6" name="Oval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200525" y="4743450"/>
          <a:ext cx="228601" cy="161926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</a:ln>
      </xdr:spPr>
      <xdr:txBody>
        <a:bodyPr xmlns:a="http://schemas.openxmlformats.org/drawingml/2006/main" wrap="square" lIns="27432" tIns="22860" rIns="0" bIns="0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800" b="1" i="0">
              <a:solidFill>
                <a:srgbClr val="000000"/>
              </a:solidFill>
              <a:latin typeface="Arial"/>
              <a:ea typeface="Arial"/>
              <a:cs typeface="Arial"/>
            </a:rPr>
            <a:t>L</a:t>
          </a:r>
          <a:endParaRPr/>
        </a:p>
      </xdr:txBody>
    </xdr:sp>
    <xdr:clientData/>
  </xdr:twoCellAnchor>
  <xdr:twoCellAnchor editAs="oneCell">
    <xdr:from>
      <xdr:col>3</xdr:col>
      <xdr:colOff>809626</xdr:colOff>
      <xdr:row>21</xdr:row>
      <xdr:rowOff>9525</xdr:rowOff>
    </xdr:from>
    <xdr:to>
      <xdr:col>3</xdr:col>
      <xdr:colOff>1095375</xdr:colOff>
      <xdr:row>21</xdr:row>
      <xdr:rowOff>190501</xdr:rowOff>
    </xdr:to>
    <xdr:sp>
      <xdr:nvSpPr>
        <xdr:cNvPr id="7" name="Oval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676651" y="4552950"/>
          <a:ext cx="285749" cy="180976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</a:ln>
      </xdr:spPr>
      <xdr:txBody>
        <a:bodyPr xmlns:a="http://schemas.openxmlformats.org/drawingml/2006/main" wrap="square" lIns="27432" tIns="22860" rIns="0" bIns="0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800" b="1" i="0">
              <a:solidFill>
                <a:srgbClr val="000000"/>
              </a:solidFill>
              <a:latin typeface="Arial"/>
              <a:ea typeface="Arial"/>
              <a:cs typeface="Arial"/>
            </a:rPr>
            <a:t>LL</a:t>
          </a:r>
          <a:endParaRPr/>
        </a:p>
      </xdr:txBody>
    </xdr:sp>
    <xdr:clientData/>
  </xdr:twoCellAnchor>
  <xdr:twoCellAnchor editAs="oneCell">
    <xdr:from>
      <xdr:col>3</xdr:col>
      <xdr:colOff>161925</xdr:colOff>
      <xdr:row>20</xdr:row>
      <xdr:rowOff>19049</xdr:rowOff>
    </xdr:from>
    <xdr:to>
      <xdr:col>3</xdr:col>
      <xdr:colOff>371475</xdr:colOff>
      <xdr:row>20</xdr:row>
      <xdr:rowOff>190500</xdr:rowOff>
    </xdr:to>
    <xdr:sp>
      <xdr:nvSpPr>
        <xdr:cNvPr id="8" name="Oval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028950" y="4352924"/>
          <a:ext cx="209550" cy="171451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</a:ln>
      </xdr:spPr>
      <xdr:txBody>
        <a:bodyPr xmlns:a="http://schemas.openxmlformats.org/drawingml/2006/main" wrap="square" lIns="27432" tIns="22860" rIns="0" bIns="0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800" b="1" i="0">
              <a:solidFill>
                <a:srgbClr val="000000"/>
              </a:solidFill>
              <a:latin typeface="Arial"/>
              <a:ea typeface="Arial"/>
              <a:cs typeface="Arial"/>
            </a:rPr>
            <a:t>D</a:t>
          </a:r>
          <a:endParaRPr/>
        </a:p>
      </xdr:txBody>
    </xdr:sp>
    <xdr:clientData/>
  </xdr:twoCellAnchor>
  <xdr:twoCellAnchor editAs="oneCell">
    <xdr:from>
      <xdr:col>4</xdr:col>
      <xdr:colOff>495300</xdr:colOff>
      <xdr:row>35</xdr:row>
      <xdr:rowOff>47624</xdr:rowOff>
    </xdr:from>
    <xdr:to>
      <xdr:col>4</xdr:col>
      <xdr:colOff>628650</xdr:colOff>
      <xdr:row>35</xdr:row>
      <xdr:rowOff>257173</xdr:rowOff>
    </xdr:to>
    <xdr:sp>
      <xdr:nvSpPr>
        <xdr:cNvPr id="9" name="Line 5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5981700" y="9039224"/>
          <a:ext cx="133350" cy="20954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000000"/>
          </a:solidFill>
          <a:round/>
        </a:ln>
      </xdr:spPr>
    </xdr:sp>
    <xdr:clientData/>
  </xdr:twoCellAnchor>
  <xdr:twoCellAnchor editAs="oneCell">
    <xdr:from>
      <xdr:col>5</xdr:col>
      <xdr:colOff>76200</xdr:colOff>
      <xdr:row>26</xdr:row>
      <xdr:rowOff>114300</xdr:rowOff>
    </xdr:from>
    <xdr:to>
      <xdr:col>5</xdr:col>
      <xdr:colOff>533400</xdr:colOff>
      <xdr:row>36</xdr:row>
      <xdr:rowOff>238125</xdr:rowOff>
    </xdr:to>
    <xdr:sp>
      <xdr:nvSpPr>
        <xdr:cNvPr id="10" name="Geschweifte Klammer rechts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495925" y="5981700"/>
          <a:ext cx="457200" cy="3343275"/>
        </a:xfrm>
        <a:prstGeom xmlns:a="http://schemas.openxmlformats.org/drawingml/2006/main" prst="rightBrace">
          <a:avLst/>
        </a:prstGeom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58c978d04449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f1bec2f8aed4226" /></Relationships>
</file>

<file path=xl/worksheets/sheet1.xml><?xml version="1.0" encoding="utf-8"?>
<x:worksheet xmlns:x="http://schemas.openxmlformats.org/spreadsheetml/2006/main">
  <x:sheetPr>
    <x:tabColor theme="3"/>
  </x:sheetPr>
  <x:sheetFormatPr baseColWidth="10" defaultColWidth="10.7109375" defaultRowHeight="12.75"/>
  <x:cols>
    <x:col min="1" max="1" width="3.7109375" style="49" customWidth="1"/>
    <x:col min="2" max="3" width="5.7109375" style="49" customWidth="1"/>
    <x:col min="4" max="4" width="8.7109375" style="49" customWidth="1"/>
    <x:col min="5" max="5" width="7.7109375" style="49" customWidth="1"/>
    <x:col min="6" max="6" width="4.7109375" style="49" customWidth="1"/>
    <x:col min="7" max="7" width="7.28515625" style="153" customWidth="1"/>
    <x:col min="8" max="9" width="5.7109375" style="49" customWidth="1"/>
    <x:col min="10" max="10" width="6.85546875" style="49" customWidth="1"/>
    <x:col min="11" max="11" width="5.7109375" style="49" customWidth="1"/>
    <x:col min="12" max="12" width="5.85546875" style="49" customWidth="1"/>
    <x:col min="13" max="13" width="6.28515625" style="49" customWidth="1"/>
    <x:col min="14" max="15" width="5.7109375" style="49" customWidth="1"/>
    <x:col min="16" max="17" width="14.7109375" style="49" customWidth="1"/>
    <x:col min="18" max="18" width="4.28515625" style="49" customWidth="1"/>
    <x:col min="19" max="19" width="0" style="49" hidden="0" customWidth="1"/>
    <x:col min="20" max="20" width="7.28515625" style="49" customWidth="1"/>
    <x:col min="21" max="23" width="4.7109375" style="49" customWidth="1"/>
    <x:col min="24" max="24" width="15.140625" style="49" customWidth="1"/>
    <x:col min="25" max="25" width="5" style="154" customWidth="1"/>
    <x:col min="26" max="16384" width="10.7109375" style="49" customWidth="0"/>
  </x:cols>
  <x:sheetData>
    <x:row r="1" ht="106.1500015258789" customHeight="1">
      <x:c r="A1" s="273" t="s">
        <x:v>0</x:v>
      </x:c>
      <x:c r="B1" s="274"/>
      <x:c r="C1" s="274"/>
      <x:c r="D1" s="274"/>
      <x:c r="E1" s="274"/>
      <x:c r="F1" s="274"/>
      <x:c r="G1" s="274"/>
      <x:c r="H1" s="274"/>
      <x:c r="I1" s="274"/>
      <x:c r="J1" s="274"/>
      <x:c r="K1" s="275"/>
      <x:c r="L1" s="276"/>
      <x:c r="M1" s="277"/>
      <x:c r="N1" s="277"/>
      <x:c r="O1" s="277"/>
      <x:c r="P1" s="277"/>
      <x:c r="Q1" s="277"/>
      <x:c r="R1" s="277"/>
      <x:c r="S1" s="277"/>
      <x:c r="T1" s="277"/>
      <x:c r="U1" s="277"/>
      <x:c r="V1" s="277"/>
      <x:c r="W1" s="277"/>
      <x:c r="X1" s="278"/>
      <x:c r="Y1" s="271"/>
      <x:c r="Z1" s="271"/>
      <x:c r="AA1" s="271"/>
      <x:c r="AB1" s="271"/>
      <x:c r="AC1" s="271"/>
      <x:c r="AD1" s="271"/>
      <x:c r="AE1" s="271"/>
      <x:c r="AF1" s="271"/>
      <x:c r="AG1" s="271"/>
    </x:row>
    <x:row r="2" ht="22.5" customHeight="1">
      <x:c r="A2" s="295" t="s">
        <x:v>1</x:v>
      </x:c>
      <x:c r="B2" s="296"/>
      <x:c r="C2" s="297"/>
      <x:c r="D2" s="298"/>
      <x:c r="E2" s="298"/>
      <x:c r="F2" s="298"/>
      <x:c r="G2" s="298"/>
      <x:c r="H2" s="298"/>
      <x:c r="I2" s="299"/>
      <x:c r="J2" s="190" t="s">
        <x:v>2</x:v>
      </x:c>
      <x:c r="K2" s="811" t="n">
        <x:f>TODAY()</x:f>
        <x:v>46208</x:v>
      </x:c>
      <x:c r="L2" s="812"/>
      <x:c r="M2" s="812"/>
      <x:c r="N2" s="812"/>
      <x:c r="O2" s="813"/>
      <x:c r="P2" s="279" t="s">
        <x:v>3</x:v>
      </x:c>
      <x:c r="Q2" s="280"/>
      <x:c r="R2" s="280"/>
      <x:c r="S2" s="280"/>
      <x:c r="T2" s="280"/>
      <x:c r="U2" s="280"/>
      <x:c r="V2" s="280"/>
      <x:c r="W2" s="280"/>
      <x:c r="X2" s="281"/>
      <x:c r="Y2" s="271"/>
      <x:c r="Z2" s="271"/>
      <x:c r="AA2" s="271"/>
      <x:c r="AB2" s="271"/>
      <x:c r="AC2" s="271"/>
      <x:c r="AD2" s="271"/>
      <x:c r="AE2" s="271"/>
      <x:c r="AF2" s="271"/>
      <x:c r="AG2" s="271"/>
    </x:row>
    <x:row r="3" ht="22.5" customHeight="1">
      <x:c r="A3" s="303" t="s">
        <x:v>4</x:v>
      </x:c>
      <x:c r="B3" s="304"/>
      <x:c r="C3" s="305"/>
      <x:c r="D3" s="306"/>
      <x:c r="E3" s="306"/>
      <x:c r="F3" s="306"/>
      <x:c r="G3" s="306"/>
      <x:c r="H3" s="306"/>
      <x:c r="I3" s="307"/>
      <x:c r="J3" s="50" t="s">
        <x:v>5</x:v>
      </x:c>
      <x:c r="K3" s="305"/>
      <x:c r="L3" s="306"/>
      <x:c r="M3" s="306"/>
      <x:c r="N3" s="306"/>
      <x:c r="O3" s="315"/>
      <x:c r="P3" s="282"/>
      <x:c r="Q3" s="283"/>
      <x:c r="R3" s="283"/>
      <x:c r="S3" s="283"/>
      <x:c r="T3" s="283"/>
      <x:c r="U3" s="283"/>
      <x:c r="V3" s="283"/>
      <x:c r="W3" s="283"/>
      <x:c r="X3" s="284"/>
      <x:c r="Y3" s="271"/>
      <x:c r="Z3" s="271"/>
      <x:c r="AA3" s="271"/>
      <x:c r="AB3" s="271"/>
      <x:c r="AC3" s="271"/>
      <x:c r="AD3" s="271"/>
      <x:c r="AE3" s="271"/>
      <x:c r="AF3" s="271"/>
      <x:c r="AG3" s="271"/>
    </x:row>
    <x:row r="4" ht="42.75" customHeight="1">
      <x:c r="A4" s="895" t="s">
        <x:v>6</x:v>
      </x:c>
      <x:c r="B4" s="896" t="s">
        <x:v>7</x:v>
      </x:c>
      <x:c r="C4" s="897"/>
      <x:c r="D4" s="897"/>
      <x:c r="E4" s="897"/>
      <x:c r="F4" s="898"/>
      <x:c r="G4" s="899" t="s">
        <x:v>8</x:v>
      </x:c>
      <x:c r="H4" s="899" t="s">
        <x:v>9</x:v>
      </x:c>
      <x:c r="I4" s="900"/>
      <x:c r="J4" s="901" t="s">
        <x:v>10</x:v>
      </x:c>
      <x:c r="K4" s="902" t="s">
        <x:v>11</x:v>
      </x:c>
      <x:c r="L4" s="902" t="s">
        <x:v>12</x:v>
      </x:c>
      <x:c r="M4" s="902" t="s">
        <x:v>13</x:v>
      </x:c>
      <x:c r="N4" s="903" t="s">
        <x:v>14</x:v>
      </x:c>
      <x:c r="O4" s="904"/>
      <x:c r="P4" s="905" t="s">
        <x:v>15</x:v>
      </x:c>
      <x:c r="Q4" s="905" t="s">
        <x:v>16</x:v>
      </x:c>
      <x:c r="R4" s="906" t="s">
        <x:v>17</x:v>
      </x:c>
      <x:c r="S4" s="907"/>
      <x:c r="T4" s="908" t="s">
        <x:v>18</x:v>
      </x:c>
      <x:c r="U4" s="909" t="s">
        <x:v>19</x:v>
      </x:c>
      <x:c r="V4" s="910"/>
      <x:c r="W4" s="910"/>
      <x:c r="X4" s="911"/>
      <x:c r="Y4" s="271"/>
      <x:c r="Z4" s="271"/>
      <x:c r="AA4" s="271"/>
      <x:c r="AB4" s="271"/>
      <x:c r="AC4" s="271"/>
      <x:c r="AD4" s="271"/>
      <x:c r="AE4" s="271"/>
      <x:c r="AF4" s="271"/>
      <x:c r="AG4" s="271"/>
    </x:row>
    <x:row r="5" ht="12.75" customHeight="1">
      <x:c r="A5" s="912"/>
      <x:c r="B5" s="913" t="s">
        <x:v>20</x:v>
      </x:c>
      <x:c r="C5" s="914" t="s">
        <x:v>21</x:v>
      </x:c>
      <x:c r="D5" s="915" t="s">
        <x:v>22</x:v>
      </x:c>
      <x:c r="E5" s="915" t="s">
        <x:v>23</x:v>
      </x:c>
      <x:c r="F5" s="916">
        <x:v>12</x:v>
      </x:c>
      <x:c r="G5" s="909"/>
      <x:c r="H5" s="917" t="s">
        <x:v>24</x:v>
      </x:c>
      <x:c r="I5" s="918" t="s">
        <x:v>25</x:v>
      </x:c>
      <x:c r="J5" s="919"/>
      <x:c r="K5" s="909" t="s">
        <x:v>26</x:v>
      </x:c>
      <x:c r="L5" s="909" t="s">
        <x:v>26</x:v>
      </x:c>
      <x:c r="M5" s="909" t="s">
        <x:v>26</x:v>
      </x:c>
      <x:c r="N5" s="909" t="s">
        <x:v>27</x:v>
      </x:c>
      <x:c r="O5" s="909" t="s">
        <x:v>28</x:v>
      </x:c>
      <x:c r="P5" s="920"/>
      <x:c r="Q5" s="920"/>
      <x:c r="R5" s="921"/>
      <x:c r="S5" s="922"/>
      <x:c r="T5" s="923"/>
      <x:c r="U5" s="924"/>
      <x:c r="V5" s="925" t="s">
        <x:v>29</x:v>
      </x:c>
      <x:c r="W5" s="925"/>
      <x:c r="X5" s="926"/>
      <x:c r="Y5" s="271"/>
      <x:c r="Z5" s="271"/>
      <x:c r="AA5" s="271"/>
      <x:c r="AB5" s="271"/>
      <x:c r="AC5" s="271"/>
      <x:c r="AD5" s="271"/>
      <x:c r="AE5" s="271"/>
      <x:c r="AF5" s="271"/>
      <x:c r="AG5" s="271"/>
    </x:row>
    <x:row r="6" ht="9" customHeight="1">
      <x:c r="A6" s="927"/>
      <x:c r="B6" s="928"/>
      <x:c r="C6" s="929"/>
      <x:c r="D6" s="930"/>
      <x:c r="E6" s="930"/>
      <x:c r="F6" s="931"/>
      <x:c r="G6" s="932"/>
      <x:c r="H6" s="933"/>
      <x:c r="I6" s="934"/>
      <x:c r="J6" s="935"/>
      <x:c r="K6" s="932"/>
      <x:c r="L6" s="932"/>
      <x:c r="M6" s="932"/>
      <x:c r="N6" s="932"/>
      <x:c r="O6" s="932"/>
      <x:c r="P6" s="936"/>
      <x:c r="Q6" s="936"/>
      <x:c r="R6" s="937"/>
      <x:c r="S6" s="938"/>
      <x:c r="T6" s="939"/>
      <x:c r="U6" s="932"/>
      <x:c r="V6" s="940"/>
      <x:c r="W6" s="940"/>
      <x:c r="X6" s="941"/>
      <x:c r="Y6" s="271"/>
      <x:c r="Z6" s="271"/>
      <x:c r="AA6" s="271"/>
      <x:c r="AB6" s="271"/>
      <x:c r="AC6" s="271"/>
      <x:c r="AD6" s="271"/>
      <x:c r="AE6" s="271"/>
      <x:c r="AF6" s="271"/>
      <x:c r="AG6" s="271"/>
    </x:row>
    <x:row r="7" ht="21" customHeight="1">
      <x:c r="A7" s="55">
        <x:v>1</x:v>
      </x:c>
      <x:c r="B7" s="56"/>
      <x:c r="C7" s="57"/>
      <x:c r="D7" s="58"/>
      <x:c r="E7" s="59"/>
      <x:c r="F7" s="60"/>
      <x:c r="G7" s="61"/>
      <x:c r="H7" s="62"/>
      <x:c r="I7" s="60"/>
      <x:c r="J7" s="819"/>
      <x:c r="K7" s="819"/>
      <x:c r="L7" s="819"/>
      <x:c r="M7" s="819" t="str">
        <x:f>IF(COUNTA(B7:L7)=0,"",N(K7)+N(L7))</x:f>
      </x:c>
      <x:c r="N7" s="820"/>
      <x:c r="O7" s="819"/>
      <x:c r="P7" s="66"/>
      <x:c r="Q7" s="66"/>
      <x:c r="R7" s="67"/>
      <x:c r="S7" s="68"/>
      <x:c r="T7" s="69"/>
      <x:c r="U7" s="69"/>
      <x:c r="V7" s="235"/>
      <x:c r="W7" s="235"/>
      <x:c r="X7" s="236"/>
      <x:c r="Y7" s="271"/>
      <x:c r="Z7" s="271"/>
      <x:c r="AA7" s="271"/>
      <x:c r="AB7" s="271"/>
      <x:c r="AC7" s="271"/>
      <x:c r="AD7" s="271"/>
      <x:c r="AE7" s="271"/>
      <x:c r="AF7" s="271"/>
      <x:c r="AG7" s="271"/>
    </x:row>
    <x:row r="8" ht="21" customHeight="1">
      <x:c r="A8" s="70">
        <x:v>2</x:v>
      </x:c>
      <x:c r="B8" s="71"/>
      <x:c r="C8" s="72"/>
      <x:c r="D8" s="73"/>
      <x:c r="E8" s="74"/>
      <x:c r="F8" s="75"/>
      <x:c r="G8" s="76"/>
      <x:c r="H8" s="77"/>
      <x:c r="I8" s="75"/>
      <x:c r="J8" s="821"/>
      <x:c r="K8" s="821"/>
      <x:c r="L8" s="821"/>
      <x:c r="M8" s="821" t="str">
        <x:f t="shared" ref="M8:M46" si="0">IF(COUNTA(B8:L8)=0,"",N(K8)+N(L8))</x:f>
      </x:c>
      <x:c r="N8" s="822"/>
      <x:c r="O8" s="821"/>
      <x:c r="P8" s="81"/>
      <x:c r="Q8" s="82"/>
      <x:c r="R8" s="83"/>
      <x:c r="S8" s="84"/>
      <x:c r="T8" s="80"/>
      <x:c r="U8" s="80"/>
      <x:c r="V8" s="199"/>
      <x:c r="W8" s="199"/>
      <x:c r="X8" s="200"/>
      <x:c r="Y8" s="271"/>
      <x:c r="Z8" s="271"/>
      <x:c r="AA8" s="271"/>
      <x:c r="AB8" s="271"/>
      <x:c r="AC8" s="271"/>
      <x:c r="AD8" s="271"/>
      <x:c r="AE8" s="271"/>
      <x:c r="AF8" s="271"/>
      <x:c r="AG8" s="271"/>
    </x:row>
    <x:row r="9" ht="21" customHeight="1">
      <x:c r="A9" s="70">
        <x:v>3</x:v>
      </x:c>
      <x:c r="B9" s="71"/>
      <x:c r="C9" s="72"/>
      <x:c r="D9" s="73"/>
      <x:c r="E9" s="74"/>
      <x:c r="F9" s="75"/>
      <x:c r="G9" s="76"/>
      <x:c r="H9" s="77"/>
      <x:c r="I9" s="75"/>
      <x:c r="J9" s="821"/>
      <x:c r="K9" s="821"/>
      <x:c r="L9" s="821"/>
      <x:c r="M9" s="821" t="str">
        <x:f t="shared" si="0">IF(COUNTA(B9:L9)=0,"",N(K9)+N(L9))</x:f>
      </x:c>
      <x:c r="N9" s="822"/>
      <x:c r="O9" s="821"/>
      <x:c r="P9" s="81"/>
      <x:c r="Q9" s="82"/>
      <x:c r="R9" s="83"/>
      <x:c r="S9" s="84"/>
      <x:c r="T9" s="80"/>
      <x:c r="U9" s="80"/>
      <x:c r="V9" s="199"/>
      <x:c r="W9" s="199"/>
      <x:c r="X9" s="200"/>
      <x:c r="Y9" s="271"/>
      <x:c r="Z9" s="271"/>
      <x:c r="AA9" s="271"/>
      <x:c r="AB9" s="271"/>
      <x:c r="AC9" s="271"/>
      <x:c r="AD9" s="271"/>
      <x:c r="AE9" s="271"/>
      <x:c r="AF9" s="271"/>
      <x:c r="AG9" s="271"/>
    </x:row>
    <x:row r="10" ht="21" customHeight="1">
      <x:c r="A10" s="70">
        <x:v>4</x:v>
      </x:c>
      <x:c r="B10" s="71"/>
      <x:c r="C10" s="72"/>
      <x:c r="D10" s="73"/>
      <x:c r="E10" s="74"/>
      <x:c r="F10" s="75"/>
      <x:c r="G10" s="76"/>
      <x:c r="H10" s="77"/>
      <x:c r="I10" s="75"/>
      <x:c r="J10" s="821"/>
      <x:c r="K10" s="821"/>
      <x:c r="L10" s="821"/>
      <x:c r="M10" s="821" t="str">
        <x:f t="shared" si="0">IF(COUNTA(B10:L10)=0,"",N(K10)+N(L10))</x:f>
      </x:c>
      <x:c r="N10" s="822"/>
      <x:c r="O10" s="821"/>
      <x:c r="P10" s="81"/>
      <x:c r="Q10" s="82"/>
      <x:c r="R10" s="83"/>
      <x:c r="S10" s="84"/>
      <x:c r="T10" s="80"/>
      <x:c r="U10" s="80"/>
      <x:c r="V10" s="199"/>
      <x:c r="W10" s="199"/>
      <x:c r="X10" s="200"/>
      <x:c r="Y10" s="271"/>
      <x:c r="Z10" s="271"/>
      <x:c r="AA10" s="271"/>
      <x:c r="AB10" s="271"/>
      <x:c r="AC10" s="271"/>
      <x:c r="AD10" s="271"/>
      <x:c r="AE10" s="271"/>
      <x:c r="AF10" s="271"/>
      <x:c r="AG10" s="271"/>
    </x:row>
    <x:row r="11" ht="21" customHeight="1">
      <x:c r="A11" s="85">
        <x:v>5</x:v>
      </x:c>
      <x:c r="B11" s="86"/>
      <x:c r="C11" s="87"/>
      <x:c r="D11" s="88"/>
      <x:c r="E11" s="89"/>
      <x:c r="F11" s="90"/>
      <x:c r="G11" s="91"/>
      <x:c r="H11" s="92"/>
      <x:c r="I11" s="90"/>
      <x:c r="J11" s="823"/>
      <x:c r="K11" s="824"/>
      <x:c r="L11" s="824"/>
      <x:c r="M11" s="824" t="str">
        <x:f t="shared" si="0">IF(COUNTA(B11:L11)=0,"",N(K11)+N(L11))</x:f>
      </x:c>
      <x:c r="N11" s="825"/>
      <x:c r="O11" s="823"/>
      <x:c r="P11" s="97"/>
      <x:c r="Q11" s="98"/>
      <x:c r="R11" s="99"/>
      <x:c r="S11" s="100"/>
      <x:c r="T11" s="95"/>
      <x:c r="U11" s="95"/>
      <x:c r="V11" s="195"/>
      <x:c r="W11" s="195"/>
      <x:c r="X11" s="196"/>
      <x:c r="Y11" s="271"/>
      <x:c r="Z11" s="271"/>
      <x:c r="AA11" s="271"/>
      <x:c r="AB11" s="271"/>
      <x:c r="AC11" s="271"/>
      <x:c r="AD11" s="271"/>
      <x:c r="AE11" s="271"/>
      <x:c r="AF11" s="271"/>
      <x:c r="AG11" s="271"/>
    </x:row>
    <x:row r="12" ht="21" customHeight="1">
      <x:c r="A12" s="101">
        <x:v>6</x:v>
      </x:c>
      <x:c r="B12" s="102"/>
      <x:c r="C12" s="103"/>
      <x:c r="D12" s="104"/>
      <x:c r="E12" s="105"/>
      <x:c r="F12" s="106"/>
      <x:c r="G12" s="107"/>
      <x:c r="H12" s="108"/>
      <x:c r="I12" s="106"/>
      <x:c r="J12" s="826"/>
      <x:c r="K12" s="826"/>
      <x:c r="L12" s="826"/>
      <x:c r="M12" s="826" t="str">
        <x:f t="shared" si="0">IF(COUNTA(B12:L12)=0,"",N(K12)+N(L12))</x:f>
      </x:c>
      <x:c r="N12" s="827"/>
      <x:c r="O12" s="826"/>
      <x:c r="P12" s="112"/>
      <x:c r="Q12" s="113"/>
      <x:c r="R12" s="114"/>
      <x:c r="S12" s="115"/>
      <x:c r="T12" s="111"/>
      <x:c r="U12" s="111"/>
      <x:c r="V12" s="197"/>
      <x:c r="W12" s="197"/>
      <x:c r="X12" s="198"/>
      <x:c r="Y12" s="271"/>
      <x:c r="Z12" s="271"/>
      <x:c r="AA12" s="271"/>
      <x:c r="AB12" s="271"/>
      <x:c r="AC12" s="271"/>
      <x:c r="AD12" s="271"/>
      <x:c r="AE12" s="271"/>
      <x:c r="AF12" s="271"/>
      <x:c r="AG12" s="271"/>
    </x:row>
    <x:row r="13" ht="21" customHeight="1">
      <x:c r="A13" s="70">
        <x:v>7</x:v>
      </x:c>
      <x:c r="B13" s="71"/>
      <x:c r="C13" s="72"/>
      <x:c r="D13" s="73"/>
      <x:c r="E13" s="74"/>
      <x:c r="F13" s="75"/>
      <x:c r="G13" s="76"/>
      <x:c r="H13" s="77"/>
      <x:c r="I13" s="75"/>
      <x:c r="J13" s="821"/>
      <x:c r="K13" s="821"/>
      <x:c r="L13" s="821"/>
      <x:c r="M13" s="821" t="str">
        <x:f t="shared" si="0">IF(COUNTA(B13:L13)=0,"",N(K13)+N(L13))</x:f>
      </x:c>
      <x:c r="N13" s="822"/>
      <x:c r="O13" s="821"/>
      <x:c r="P13" s="81"/>
      <x:c r="Q13" s="82"/>
      <x:c r="R13" s="83"/>
      <x:c r="S13" s="84"/>
      <x:c r="T13" s="80"/>
      <x:c r="U13" s="80"/>
      <x:c r="V13" s="199"/>
      <x:c r="W13" s="199"/>
      <x:c r="X13" s="200"/>
      <x:c r="Y13" s="271"/>
      <x:c r="Z13" s="271"/>
      <x:c r="AA13" s="271"/>
      <x:c r="AB13" s="271"/>
      <x:c r="AC13" s="271"/>
      <x:c r="AD13" s="271"/>
      <x:c r="AE13" s="271"/>
      <x:c r="AF13" s="271"/>
      <x:c r="AG13" s="271"/>
    </x:row>
    <x:row r="14" ht="21" customHeight="1">
      <x:c r="A14" s="70">
        <x:v>8</x:v>
      </x:c>
      <x:c r="B14" s="71"/>
      <x:c r="C14" s="72"/>
      <x:c r="D14" s="73"/>
      <x:c r="E14" s="74"/>
      <x:c r="F14" s="75"/>
      <x:c r="G14" s="76"/>
      <x:c r="H14" s="77"/>
      <x:c r="I14" s="75"/>
      <x:c r="J14" s="821"/>
      <x:c r="K14" s="821"/>
      <x:c r="L14" s="821"/>
      <x:c r="M14" s="821" t="str">
        <x:f t="shared" si="0">IF(COUNTA(B14:L14)=0,"",N(K14)+N(L14))</x:f>
      </x:c>
      <x:c r="N14" s="822"/>
      <x:c r="O14" s="821"/>
      <x:c r="P14" s="81"/>
      <x:c r="Q14" s="82"/>
      <x:c r="R14" s="83"/>
      <x:c r="S14" s="84"/>
      <x:c r="T14" s="80"/>
      <x:c r="U14" s="80"/>
      <x:c r="V14" s="199"/>
      <x:c r="W14" s="199"/>
      <x:c r="X14" s="200"/>
      <x:c r="Y14" s="271"/>
      <x:c r="Z14" s="271"/>
      <x:c r="AA14" s="271"/>
      <x:c r="AB14" s="271"/>
      <x:c r="AC14" s="271"/>
      <x:c r="AD14" s="271"/>
      <x:c r="AE14" s="271"/>
      <x:c r="AF14" s="271"/>
      <x:c r="AG14" s="271"/>
    </x:row>
    <x:row r="15" ht="21" customHeight="1">
      <x:c r="A15" s="70">
        <x:v>9</x:v>
      </x:c>
      <x:c r="B15" s="71"/>
      <x:c r="C15" s="72"/>
      <x:c r="D15" s="73"/>
      <x:c r="E15" s="74"/>
      <x:c r="F15" s="75"/>
      <x:c r="G15" s="76"/>
      <x:c r="H15" s="77"/>
      <x:c r="I15" s="75"/>
      <x:c r="J15" s="821"/>
      <x:c r="K15" s="821"/>
      <x:c r="L15" s="821"/>
      <x:c r="M15" s="821" t="str">
        <x:f t="shared" si="0">IF(COUNTA(B15:L15)=0,"",N(K15)+N(L15))</x:f>
      </x:c>
      <x:c r="N15" s="822"/>
      <x:c r="O15" s="821"/>
      <x:c r="P15" s="81"/>
      <x:c r="Q15" s="82"/>
      <x:c r="R15" s="83"/>
      <x:c r="S15" s="84"/>
      <x:c r="T15" s="80"/>
      <x:c r="U15" s="80"/>
      <x:c r="V15" s="199"/>
      <x:c r="W15" s="199"/>
      <x:c r="X15" s="200"/>
      <x:c r="Y15" s="271"/>
      <x:c r="Z15" s="271"/>
      <x:c r="AA15" s="271"/>
      <x:c r="AB15" s="271"/>
      <x:c r="AC15" s="271"/>
      <x:c r="AD15" s="271"/>
      <x:c r="AE15" s="271"/>
      <x:c r="AF15" s="271"/>
      <x:c r="AG15" s="271"/>
    </x:row>
    <x:row r="16" ht="21" customHeight="1">
      <x:c r="A16" s="85">
        <x:v>10</x:v>
      </x:c>
      <x:c r="B16" s="116"/>
      <x:c r="C16" s="117"/>
      <x:c r="D16" s="118"/>
      <x:c r="E16" s="89"/>
      <x:c r="F16" s="90"/>
      <x:c r="G16" s="91"/>
      <x:c r="H16" s="92"/>
      <x:c r="I16" s="90"/>
      <x:c r="J16" s="824"/>
      <x:c r="K16" s="824"/>
      <x:c r="L16" s="824"/>
      <x:c r="M16" s="824" t="str">
        <x:f t="shared" si="0">IF(COUNTA(B16:L16)=0,"",N(K16)+N(L16))</x:f>
      </x:c>
      <x:c r="N16" s="825"/>
      <x:c r="O16" s="824"/>
      <x:c r="P16" s="97"/>
      <x:c r="Q16" s="98"/>
      <x:c r="R16" s="99"/>
      <x:c r="S16" s="100"/>
      <x:c r="T16" s="95"/>
      <x:c r="U16" s="95"/>
      <x:c r="V16" s="195"/>
      <x:c r="W16" s="195"/>
      <x:c r="X16" s="196"/>
      <x:c r="Y16" s="271"/>
      <x:c r="Z16" s="271"/>
      <x:c r="AA16" s="271"/>
      <x:c r="AB16" s="271"/>
      <x:c r="AC16" s="271"/>
      <x:c r="AD16" s="271"/>
      <x:c r="AE16" s="271"/>
      <x:c r="AF16" s="271"/>
      <x:c r="AG16" s="271"/>
    </x:row>
    <x:row r="17" ht="21" customHeight="1">
      <x:c r="A17" s="101">
        <x:v>11</x:v>
      </x:c>
      <x:c r="B17" s="102"/>
      <x:c r="C17" s="103"/>
      <x:c r="D17" s="104"/>
      <x:c r="E17" s="105"/>
      <x:c r="F17" s="106"/>
      <x:c r="G17" s="107"/>
      <x:c r="H17" s="108"/>
      <x:c r="I17" s="106"/>
      <x:c r="J17" s="828"/>
      <x:c r="K17" s="826"/>
      <x:c r="L17" s="826"/>
      <x:c r="M17" s="826" t="str">
        <x:f t="shared" si="0">IF(COUNTA(B17:L17)=0,"",N(K17)+N(L17))</x:f>
      </x:c>
      <x:c r="N17" s="827"/>
      <x:c r="O17" s="828"/>
      <x:c r="P17" s="112"/>
      <x:c r="Q17" s="113"/>
      <x:c r="R17" s="114"/>
      <x:c r="S17" s="115"/>
      <x:c r="T17" s="111"/>
      <x:c r="U17" s="111"/>
      <x:c r="V17" s="197"/>
      <x:c r="W17" s="197"/>
      <x:c r="X17" s="198"/>
      <x:c r="Y17" s="271"/>
      <x:c r="Z17" s="271"/>
      <x:c r="AA17" s="271"/>
      <x:c r="AB17" s="271"/>
      <x:c r="AC17" s="271"/>
      <x:c r="AD17" s="271"/>
      <x:c r="AE17" s="271"/>
      <x:c r="AF17" s="271"/>
      <x:c r="AG17" s="271"/>
    </x:row>
    <x:row r="18" ht="21" customHeight="1">
      <x:c r="A18" s="70">
        <x:v>12</x:v>
      </x:c>
      <x:c r="B18" s="71"/>
      <x:c r="C18" s="72"/>
      <x:c r="D18" s="73"/>
      <x:c r="E18" s="74"/>
      <x:c r="F18" s="75"/>
      <x:c r="G18" s="76"/>
      <x:c r="H18" s="77"/>
      <x:c r="I18" s="75"/>
      <x:c r="J18" s="821"/>
      <x:c r="K18" s="821"/>
      <x:c r="L18" s="821"/>
      <x:c r="M18" s="821" t="str">
        <x:f t="shared" si="0">IF(COUNTA(B18:L18)=0,"",N(K18)+N(L18))</x:f>
      </x:c>
      <x:c r="N18" s="822"/>
      <x:c r="O18" s="821"/>
      <x:c r="P18" s="81"/>
      <x:c r="Q18" s="82"/>
      <x:c r="R18" s="83"/>
      <x:c r="S18" s="84"/>
      <x:c r="T18" s="80"/>
      <x:c r="U18" s="80"/>
      <x:c r="V18" s="199"/>
      <x:c r="W18" s="199"/>
      <x:c r="X18" s="200"/>
      <x:c r="Y18" s="271"/>
      <x:c r="Z18" s="271"/>
      <x:c r="AA18" s="271"/>
      <x:c r="AB18" s="271"/>
      <x:c r="AC18" s="271"/>
      <x:c r="AD18" s="271"/>
      <x:c r="AE18" s="271"/>
      <x:c r="AF18" s="271"/>
      <x:c r="AG18" s="271"/>
    </x:row>
    <x:row r="19" ht="21" customHeight="1">
      <x:c r="A19" s="70">
        <x:v>13</x:v>
      </x:c>
      <x:c r="B19" s="71"/>
      <x:c r="C19" s="72"/>
      <x:c r="D19" s="73"/>
      <x:c r="E19" s="74"/>
      <x:c r="F19" s="75"/>
      <x:c r="G19" s="76"/>
      <x:c r="H19" s="77"/>
      <x:c r="I19" s="75"/>
      <x:c r="J19" s="821"/>
      <x:c r="K19" s="821"/>
      <x:c r="L19" s="821"/>
      <x:c r="M19" s="821" t="str">
        <x:f t="shared" si="0">IF(COUNTA(B19:L19)=0,"",N(K19)+N(L19))</x:f>
      </x:c>
      <x:c r="N19" s="822"/>
      <x:c r="O19" s="821"/>
      <x:c r="P19" s="81"/>
      <x:c r="Q19" s="82"/>
      <x:c r="R19" s="83"/>
      <x:c r="S19" s="84"/>
      <x:c r="T19" s="80"/>
      <x:c r="U19" s="80"/>
      <x:c r="V19" s="199"/>
      <x:c r="W19" s="199"/>
      <x:c r="X19" s="200"/>
      <x:c r="Y19" s="271"/>
      <x:c r="Z19" s="271"/>
      <x:c r="AA19" s="271"/>
      <x:c r="AB19" s="271"/>
      <x:c r="AC19" s="271"/>
      <x:c r="AD19" s="271"/>
      <x:c r="AE19" s="271"/>
      <x:c r="AF19" s="271"/>
      <x:c r="AG19" s="271"/>
    </x:row>
    <x:row r="20" ht="21" customHeight="1">
      <x:c r="A20" s="70">
        <x:v>14</x:v>
      </x:c>
      <x:c r="B20" s="71"/>
      <x:c r="C20" s="72"/>
      <x:c r="D20" s="73"/>
      <x:c r="E20" s="74"/>
      <x:c r="F20" s="75"/>
      <x:c r="G20" s="76"/>
      <x:c r="H20" s="77"/>
      <x:c r="I20" s="75"/>
      <x:c r="J20" s="821"/>
      <x:c r="K20" s="821"/>
      <x:c r="L20" s="821"/>
      <x:c r="M20" s="821" t="str">
        <x:f t="shared" si="0">IF(COUNTA(B20:L20)=0,"",N(K20)+N(L20))</x:f>
      </x:c>
      <x:c r="N20" s="822"/>
      <x:c r="O20" s="821"/>
      <x:c r="P20" s="81"/>
      <x:c r="Q20" s="82"/>
      <x:c r="R20" s="83"/>
      <x:c r="S20" s="84"/>
      <x:c r="T20" s="80"/>
      <x:c r="U20" s="80"/>
      <x:c r="V20" s="199"/>
      <x:c r="W20" s="199"/>
      <x:c r="X20" s="200"/>
      <x:c r="Y20" s="271"/>
      <x:c r="Z20" s="271"/>
      <x:c r="AA20" s="271"/>
      <x:c r="AB20" s="271"/>
      <x:c r="AC20" s="271"/>
      <x:c r="AD20" s="271"/>
      <x:c r="AE20" s="271"/>
      <x:c r="AF20" s="271"/>
      <x:c r="AG20" s="271"/>
    </x:row>
    <x:row r="21" ht="21" customHeight="1">
      <x:c r="A21" s="85">
        <x:v>15</x:v>
      </x:c>
      <x:c r="B21" s="86"/>
      <x:c r="C21" s="87"/>
      <x:c r="D21" s="88"/>
      <x:c r="E21" s="89"/>
      <x:c r="F21" s="90"/>
      <x:c r="G21" s="91"/>
      <x:c r="H21" s="92"/>
      <x:c r="I21" s="90"/>
      <x:c r="J21" s="824"/>
      <x:c r="K21" s="824"/>
      <x:c r="L21" s="824"/>
      <x:c r="M21" s="824" t="str">
        <x:f t="shared" si="0">IF(COUNTA(B21:L21)=0,"",N(K21)+N(L21))</x:f>
      </x:c>
      <x:c r="N21" s="825"/>
      <x:c r="O21" s="823"/>
      <x:c r="P21" s="97"/>
      <x:c r="Q21" s="98"/>
      <x:c r="R21" s="99"/>
      <x:c r="S21" s="100"/>
      <x:c r="T21" s="95"/>
      <x:c r="U21" s="95"/>
      <x:c r="V21" s="195"/>
      <x:c r="W21" s="195"/>
      <x:c r="X21" s="196"/>
      <x:c r="Y21" s="271"/>
      <x:c r="Z21" s="271"/>
      <x:c r="AA21" s="271"/>
      <x:c r="AB21" s="271"/>
      <x:c r="AC21" s="271"/>
      <x:c r="AD21" s="271"/>
      <x:c r="AE21" s="271"/>
      <x:c r="AF21" s="271"/>
      <x:c r="AG21" s="271"/>
    </x:row>
    <x:row r="22" ht="21" customHeight="1">
      <x:c r="A22" s="101">
        <x:v>16</x:v>
      </x:c>
      <x:c r="B22" s="102"/>
      <x:c r="C22" s="103"/>
      <x:c r="D22" s="104"/>
      <x:c r="E22" s="105"/>
      <x:c r="F22" s="106"/>
      <x:c r="G22" s="107"/>
      <x:c r="H22" s="108"/>
      <x:c r="I22" s="106"/>
      <x:c r="J22" s="828"/>
      <x:c r="K22" s="826"/>
      <x:c r="L22" s="826"/>
      <x:c r="M22" s="826" t="str">
        <x:f t="shared" si="0">IF(COUNTA(B22:L22)=0,"",N(K22)+N(L22))</x:f>
      </x:c>
      <x:c r="N22" s="827"/>
      <x:c r="O22" s="826"/>
      <x:c r="P22" s="112"/>
      <x:c r="Q22" s="113"/>
      <x:c r="R22" s="114"/>
      <x:c r="S22" s="115"/>
      <x:c r="T22" s="111"/>
      <x:c r="U22" s="111"/>
      <x:c r="V22" s="197"/>
      <x:c r="W22" s="197"/>
      <x:c r="X22" s="198"/>
      <x:c r="Y22" s="271"/>
      <x:c r="Z22" s="271"/>
      <x:c r="AA22" s="271"/>
      <x:c r="AB22" s="271"/>
      <x:c r="AC22" s="271"/>
      <x:c r="AD22" s="271"/>
      <x:c r="AE22" s="271"/>
      <x:c r="AF22" s="271"/>
      <x:c r="AG22" s="271"/>
    </x:row>
    <x:row r="23" ht="21" customHeight="1">
      <x:c r="A23" s="70">
        <x:v>17</x:v>
      </x:c>
      <x:c r="B23" s="71"/>
      <x:c r="C23" s="72"/>
      <x:c r="D23" s="73"/>
      <x:c r="E23" s="122"/>
      <x:c r="F23" s="123"/>
      <x:c r="G23" s="76"/>
      <x:c r="H23" s="77"/>
      <x:c r="I23" s="75"/>
      <x:c r="J23" s="821"/>
      <x:c r="K23" s="821"/>
      <x:c r="L23" s="821"/>
      <x:c r="M23" s="821" t="str">
        <x:f t="shared" si="0">IF(COUNTA(B23:L23)=0,"",N(K23)+N(L23))</x:f>
      </x:c>
      <x:c r="N23" s="822"/>
      <x:c r="O23" s="821"/>
      <x:c r="P23" s="81"/>
      <x:c r="Q23" s="82"/>
      <x:c r="R23" s="83"/>
      <x:c r="S23" s="84"/>
      <x:c r="T23" s="80"/>
      <x:c r="U23" s="80"/>
      <x:c r="V23" s="199"/>
      <x:c r="W23" s="199"/>
      <x:c r="X23" s="200"/>
      <x:c r="Y23" s="271"/>
      <x:c r="Z23" s="271"/>
      <x:c r="AA23" s="271"/>
      <x:c r="AB23" s="271"/>
      <x:c r="AC23" s="271"/>
      <x:c r="AD23" s="271"/>
      <x:c r="AE23" s="271"/>
      <x:c r="AF23" s="271"/>
      <x:c r="AG23" s="271"/>
    </x:row>
    <x:row r="24" ht="21" customHeight="1">
      <x:c r="A24" s="70">
        <x:v>18</x:v>
      </x:c>
      <x:c r="B24" s="71"/>
      <x:c r="C24" s="72"/>
      <x:c r="D24" s="73"/>
      <x:c r="E24" s="74"/>
      <x:c r="F24" s="75"/>
      <x:c r="G24" s="76"/>
      <x:c r="H24" s="77"/>
      <x:c r="I24" s="75"/>
      <x:c r="J24" s="821"/>
      <x:c r="K24" s="821"/>
      <x:c r="L24" s="821"/>
      <x:c r="M24" s="821" t="str">
        <x:f t="shared" si="0">IF(COUNTA(B24:L24)=0,"",N(K24)+N(L24))</x:f>
      </x:c>
      <x:c r="N24" s="822"/>
      <x:c r="O24" s="821"/>
      <x:c r="P24" s="81"/>
      <x:c r="Q24" s="82"/>
      <x:c r="R24" s="83"/>
      <x:c r="S24" s="84"/>
      <x:c r="T24" s="80"/>
      <x:c r="U24" s="80"/>
      <x:c r="V24" s="199"/>
      <x:c r="W24" s="199"/>
      <x:c r="X24" s="200"/>
      <x:c r="Y24" s="271"/>
      <x:c r="Z24" s="271"/>
      <x:c r="AA24" s="271"/>
      <x:c r="AB24" s="271"/>
      <x:c r="AC24" s="271"/>
      <x:c r="AD24" s="271"/>
      <x:c r="AE24" s="271"/>
      <x:c r="AF24" s="271"/>
      <x:c r="AG24" s="271"/>
    </x:row>
    <x:row r="25" ht="21" customHeight="1">
      <x:c r="A25" s="70">
        <x:v>19</x:v>
      </x:c>
      <x:c r="B25" s="71"/>
      <x:c r="C25" s="72"/>
      <x:c r="D25" s="73"/>
      <x:c r="E25" s="74"/>
      <x:c r="F25" s="75"/>
      <x:c r="G25" s="76"/>
      <x:c r="H25" s="77"/>
      <x:c r="I25" s="75"/>
      <x:c r="J25" s="821"/>
      <x:c r="K25" s="821"/>
      <x:c r="L25" s="821"/>
      <x:c r="M25" s="821" t="str">
        <x:f t="shared" si="0">IF(COUNTA(B25:L25)=0,"",N(K25)+N(L25))</x:f>
      </x:c>
      <x:c r="N25" s="822"/>
      <x:c r="O25" s="821"/>
      <x:c r="P25" s="81"/>
      <x:c r="Q25" s="82"/>
      <x:c r="R25" s="83"/>
      <x:c r="S25" s="84"/>
      <x:c r="T25" s="80"/>
      <x:c r="U25" s="80"/>
      <x:c r="V25" s="199"/>
      <x:c r="W25" s="199"/>
      <x:c r="X25" s="200"/>
      <x:c r="Y25" s="271"/>
      <x:c r="Z25" s="271"/>
      <x:c r="AA25" s="271"/>
      <x:c r="AB25" s="271"/>
      <x:c r="AC25" s="271"/>
      <x:c r="AD25" s="271"/>
      <x:c r="AE25" s="271"/>
      <x:c r="AF25" s="271"/>
      <x:c r="AG25" s="271"/>
    </x:row>
    <x:row r="26" ht="21" customHeight="1">
      <x:c r="A26" s="85">
        <x:v>20</x:v>
      </x:c>
      <x:c r="B26" s="86"/>
      <x:c r="C26" s="87"/>
      <x:c r="D26" s="88"/>
      <x:c r="E26" s="89"/>
      <x:c r="F26" s="90"/>
      <x:c r="G26" s="91"/>
      <x:c r="H26" s="92"/>
      <x:c r="I26" s="90"/>
      <x:c r="J26" s="824"/>
      <x:c r="K26" s="824"/>
      <x:c r="L26" s="824"/>
      <x:c r="M26" s="824" t="str">
        <x:f t="shared" si="0">IF(COUNTA(B26:L26)=0,"",N(K26)+N(L26))</x:f>
      </x:c>
      <x:c r="N26" s="825"/>
      <x:c r="O26" s="824"/>
      <x:c r="P26" s="97"/>
      <x:c r="Q26" s="98"/>
      <x:c r="R26" s="99"/>
      <x:c r="S26" s="100"/>
      <x:c r="T26" s="95"/>
      <x:c r="U26" s="95"/>
      <x:c r="V26" s="195"/>
      <x:c r="W26" s="195"/>
      <x:c r="X26" s="196"/>
      <x:c r="Y26" s="271"/>
      <x:c r="Z26" s="271"/>
      <x:c r="AA26" s="271"/>
      <x:c r="AB26" s="271"/>
      <x:c r="AC26" s="271"/>
      <x:c r="AD26" s="271"/>
      <x:c r="AE26" s="271"/>
      <x:c r="AF26" s="271"/>
      <x:c r="AG26" s="271"/>
    </x:row>
    <x:row r="27" ht="21" customHeight="1">
      <x:c r="A27" s="101">
        <x:v>21</x:v>
      </x:c>
      <x:c r="B27" s="102"/>
      <x:c r="C27" s="103"/>
      <x:c r="D27" s="104"/>
      <x:c r="E27" s="105"/>
      <x:c r="F27" s="106"/>
      <x:c r="G27" s="107"/>
      <x:c r="H27" s="108"/>
      <x:c r="I27" s="106"/>
      <x:c r="J27" s="828"/>
      <x:c r="K27" s="826"/>
      <x:c r="L27" s="826"/>
      <x:c r="M27" s="826" t="str">
        <x:f t="shared" si="0">IF(COUNTA(B27:L27)=0,"",N(K27)+N(L27))</x:f>
      </x:c>
      <x:c r="N27" s="827"/>
      <x:c r="O27" s="828"/>
      <x:c r="P27" s="112"/>
      <x:c r="Q27" s="113"/>
      <x:c r="R27" s="114"/>
      <x:c r="S27" s="115"/>
      <x:c r="T27" s="111"/>
      <x:c r="U27" s="111"/>
      <x:c r="V27" s="197"/>
      <x:c r="W27" s="197"/>
      <x:c r="X27" s="198"/>
      <x:c r="Y27" s="271"/>
      <x:c r="Z27" s="271"/>
      <x:c r="AA27" s="271"/>
      <x:c r="AB27" s="271"/>
      <x:c r="AC27" s="271"/>
      <x:c r="AD27" s="271"/>
      <x:c r="AE27" s="271"/>
      <x:c r="AF27" s="271"/>
      <x:c r="AG27" s="271"/>
    </x:row>
    <x:row r="28" ht="21" customHeight="1">
      <x:c r="A28" s="70">
        <x:v>22</x:v>
      </x:c>
      <x:c r="B28" s="71"/>
      <x:c r="C28" s="72"/>
      <x:c r="D28" s="73"/>
      <x:c r="E28" s="74"/>
      <x:c r="F28" s="75"/>
      <x:c r="G28" s="76"/>
      <x:c r="H28" s="77"/>
      <x:c r="I28" s="75"/>
      <x:c r="J28" s="821"/>
      <x:c r="K28" s="821"/>
      <x:c r="L28" s="821"/>
      <x:c r="M28" s="821" t="str">
        <x:f t="shared" si="0">IF(COUNTA(B28:L28)=0,"",N(K28)+N(L28))</x:f>
      </x:c>
      <x:c r="N28" s="822"/>
      <x:c r="O28" s="821"/>
      <x:c r="P28" s="81"/>
      <x:c r="Q28" s="82"/>
      <x:c r="R28" s="83"/>
      <x:c r="S28" s="84"/>
      <x:c r="T28" s="80"/>
      <x:c r="U28" s="80"/>
      <x:c r="V28" s="199"/>
      <x:c r="W28" s="199"/>
      <x:c r="X28" s="200"/>
      <x:c r="Y28" s="271"/>
      <x:c r="Z28" s="271"/>
      <x:c r="AA28" s="271"/>
      <x:c r="AB28" s="271"/>
      <x:c r="AC28" s="271"/>
      <x:c r="AD28" s="271"/>
      <x:c r="AE28" s="271"/>
      <x:c r="AF28" s="271"/>
      <x:c r="AG28" s="271"/>
    </x:row>
    <x:row r="29" ht="21" customHeight="1">
      <x:c r="A29" s="70">
        <x:v>23</x:v>
      </x:c>
      <x:c r="B29" s="71"/>
      <x:c r="C29" s="72"/>
      <x:c r="D29" s="73"/>
      <x:c r="E29" s="74"/>
      <x:c r="F29" s="75"/>
      <x:c r="G29" s="76"/>
      <x:c r="H29" s="77"/>
      <x:c r="I29" s="75"/>
      <x:c r="J29" s="821"/>
      <x:c r="K29" s="821"/>
      <x:c r="L29" s="821"/>
      <x:c r="M29" s="821" t="str">
        <x:f t="shared" si="0">IF(COUNTA(B29:L29)=0,"",N(K29)+N(L29))</x:f>
      </x:c>
      <x:c r="N29" s="822"/>
      <x:c r="O29" s="821"/>
      <x:c r="P29" s="81"/>
      <x:c r="Q29" s="82"/>
      <x:c r="R29" s="83"/>
      <x:c r="S29" s="84"/>
      <x:c r="T29" s="80"/>
      <x:c r="U29" s="80"/>
      <x:c r="V29" s="199"/>
      <x:c r="W29" s="199"/>
      <x:c r="X29" s="200"/>
      <x:c r="Y29" s="271"/>
      <x:c r="Z29" s="271"/>
      <x:c r="AA29" s="271"/>
      <x:c r="AB29" s="271"/>
      <x:c r="AC29" s="271"/>
      <x:c r="AD29" s="271"/>
      <x:c r="AE29" s="271"/>
      <x:c r="AF29" s="271"/>
      <x:c r="AG29" s="271"/>
    </x:row>
    <x:row r="30" ht="21" customHeight="1">
      <x:c r="A30" s="70">
        <x:v>24</x:v>
      </x:c>
      <x:c r="B30" s="71"/>
      <x:c r="C30" s="72"/>
      <x:c r="D30" s="73"/>
      <x:c r="E30" s="74"/>
      <x:c r="F30" s="75"/>
      <x:c r="G30" s="76"/>
      <x:c r="H30" s="77"/>
      <x:c r="I30" s="75"/>
      <x:c r="J30" s="821"/>
      <x:c r="K30" s="821"/>
      <x:c r="L30" s="821"/>
      <x:c r="M30" s="821" t="str">
        <x:f t="shared" si="0">IF(COUNTA(B30:L30)=0,"",N(K30)+N(L30))</x:f>
      </x:c>
      <x:c r="N30" s="822"/>
      <x:c r="O30" s="821"/>
      <x:c r="P30" s="81"/>
      <x:c r="Q30" s="82"/>
      <x:c r="R30" s="83"/>
      <x:c r="S30" s="84"/>
      <x:c r="T30" s="80"/>
      <x:c r="U30" s="80"/>
      <x:c r="V30" s="199"/>
      <x:c r="W30" s="199"/>
      <x:c r="X30" s="200"/>
      <x:c r="Y30" s="271"/>
      <x:c r="Z30" s="271"/>
      <x:c r="AA30" s="271"/>
      <x:c r="AB30" s="271"/>
      <x:c r="AC30" s="271"/>
      <x:c r="AD30" s="271"/>
      <x:c r="AE30" s="271"/>
      <x:c r="AF30" s="271"/>
      <x:c r="AG30" s="271"/>
    </x:row>
    <x:row r="31" ht="21" customHeight="1">
      <x:c r="A31" s="85">
        <x:v>25</x:v>
      </x:c>
      <x:c r="B31" s="86"/>
      <x:c r="C31" s="87"/>
      <x:c r="D31" s="88"/>
      <x:c r="E31" s="89"/>
      <x:c r="F31" s="90"/>
      <x:c r="G31" s="91"/>
      <x:c r="H31" s="77"/>
      <x:c r="I31" s="75"/>
      <x:c r="J31" s="824"/>
      <x:c r="K31" s="824"/>
      <x:c r="L31" s="821"/>
      <x:c r="M31" s="821" t="str">
        <x:f t="shared" si="0">IF(COUNTA(B31:L31)=0,"",N(K31)+N(L31))</x:f>
      </x:c>
      <x:c r="N31" s="825"/>
      <x:c r="O31" s="824"/>
      <x:c r="P31" s="81"/>
      <x:c r="Q31" s="82"/>
      <x:c r="R31" s="83"/>
      <x:c r="S31" s="84"/>
      <x:c r="T31" s="80"/>
      <x:c r="U31" s="131"/>
      <x:c r="V31" s="195"/>
      <x:c r="W31" s="195"/>
      <x:c r="X31" s="196"/>
      <x:c r="Y31" s="271"/>
      <x:c r="Z31" s="271"/>
      <x:c r="AA31" s="271"/>
      <x:c r="AB31" s="271"/>
      <x:c r="AC31" s="271"/>
      <x:c r="AD31" s="271"/>
      <x:c r="AE31" s="271"/>
      <x:c r="AF31" s="271"/>
      <x:c r="AG31" s="271"/>
    </x:row>
    <x:row r="32" ht="21" customHeight="1">
      <x:c r="A32" s="101">
        <x:v>26</x:v>
      </x:c>
      <x:c r="B32" s="102"/>
      <x:c r="C32" s="103"/>
      <x:c r="D32" s="104"/>
      <x:c r="E32" s="105"/>
      <x:c r="F32" s="106"/>
      <x:c r="G32" s="107"/>
      <x:c r="H32" s="108"/>
      <x:c r="I32" s="106"/>
      <x:c r="J32" s="828"/>
      <x:c r="K32" s="826"/>
      <x:c r="L32" s="826"/>
      <x:c r="M32" s="826" t="str">
        <x:f t="shared" si="0">IF(COUNTA(B32:L32)=0,"",N(K32)+N(L32))</x:f>
      </x:c>
      <x:c r="N32" s="827"/>
      <x:c r="O32" s="826"/>
      <x:c r="P32" s="112"/>
      <x:c r="Q32" s="113"/>
      <x:c r="R32" s="114"/>
      <x:c r="S32" s="115"/>
      <x:c r="T32" s="111"/>
      <x:c r="U32" s="111"/>
      <x:c r="V32" s="197"/>
      <x:c r="W32" s="197"/>
      <x:c r="X32" s="198"/>
      <x:c r="Y32" s="271"/>
      <x:c r="Z32" s="271"/>
      <x:c r="AA32" s="271"/>
      <x:c r="AB32" s="271"/>
      <x:c r="AC32" s="271"/>
      <x:c r="AD32" s="271"/>
      <x:c r="AE32" s="271"/>
      <x:c r="AF32" s="271"/>
      <x:c r="AG32" s="271"/>
    </x:row>
    <x:row r="33" ht="21" customHeight="1">
      <x:c r="A33" s="70">
        <x:v>27</x:v>
      </x:c>
      <x:c r="B33" s="71"/>
      <x:c r="C33" s="72"/>
      <x:c r="D33" s="73"/>
      <x:c r="E33" s="74"/>
      <x:c r="F33" s="75"/>
      <x:c r="G33" s="76"/>
      <x:c r="H33" s="77"/>
      <x:c r="I33" s="75"/>
      <x:c r="J33" s="821"/>
      <x:c r="K33" s="821"/>
      <x:c r="L33" s="821"/>
      <x:c r="M33" s="821" t="str">
        <x:f t="shared" si="0">IF(COUNTA(B33:L33)=0,"",N(K33)+N(L33))</x:f>
      </x:c>
      <x:c r="N33" s="822"/>
      <x:c r="O33" s="821"/>
      <x:c r="P33" s="81"/>
      <x:c r="Q33" s="82"/>
      <x:c r="R33" s="83"/>
      <x:c r="S33" s="84"/>
      <x:c r="T33" s="80"/>
      <x:c r="U33" s="80"/>
      <x:c r="V33" s="199"/>
      <x:c r="W33" s="199"/>
      <x:c r="X33" s="200"/>
      <x:c r="Y33" s="271"/>
      <x:c r="Z33" s="271"/>
      <x:c r="AA33" s="271"/>
      <x:c r="AB33" s="271"/>
      <x:c r="AC33" s="271"/>
      <x:c r="AD33" s="271"/>
      <x:c r="AE33" s="271"/>
      <x:c r="AF33" s="271"/>
      <x:c r="AG33" s="271"/>
    </x:row>
    <x:row r="34" ht="21" customHeight="1">
      <x:c r="A34" s="70">
        <x:v>28</x:v>
      </x:c>
      <x:c r="B34" s="71"/>
      <x:c r="C34" s="72"/>
      <x:c r="D34" s="73"/>
      <x:c r="E34" s="74"/>
      <x:c r="F34" s="75"/>
      <x:c r="G34" s="76"/>
      <x:c r="H34" s="77"/>
      <x:c r="I34" s="75"/>
      <x:c r="J34" s="821"/>
      <x:c r="K34" s="821"/>
      <x:c r="L34" s="821"/>
      <x:c r="M34" s="821" t="str">
        <x:f t="shared" si="0">IF(COUNTA(B34:L34)=0,"",N(K34)+N(L34))</x:f>
      </x:c>
      <x:c r="N34" s="822"/>
      <x:c r="O34" s="821"/>
      <x:c r="P34" s="81"/>
      <x:c r="Q34" s="82"/>
      <x:c r="R34" s="83"/>
      <x:c r="S34" s="84"/>
      <x:c r="T34" s="80"/>
      <x:c r="U34" s="80"/>
      <x:c r="V34" s="199"/>
      <x:c r="W34" s="199"/>
      <x:c r="X34" s="200"/>
      <x:c r="Y34" s="271"/>
      <x:c r="Z34" s="271"/>
      <x:c r="AA34" s="271"/>
      <x:c r="AB34" s="271"/>
      <x:c r="AC34" s="271"/>
      <x:c r="AD34" s="271"/>
      <x:c r="AE34" s="271"/>
      <x:c r="AF34" s="271"/>
      <x:c r="AG34" s="271"/>
    </x:row>
    <x:row r="35" ht="21" customHeight="1">
      <x:c r="A35" s="70">
        <x:v>29</x:v>
      </x:c>
      <x:c r="B35" s="71"/>
      <x:c r="C35" s="72"/>
      <x:c r="D35" s="73"/>
      <x:c r="E35" s="74"/>
      <x:c r="F35" s="75"/>
      <x:c r="G35" s="76"/>
      <x:c r="H35" s="77"/>
      <x:c r="I35" s="75"/>
      <x:c r="J35" s="821"/>
      <x:c r="K35" s="821"/>
      <x:c r="L35" s="821"/>
      <x:c r="M35" s="821" t="str">
        <x:f t="shared" si="0">IF(COUNTA(B35:L35)=0,"",N(K35)+N(L35))</x:f>
      </x:c>
      <x:c r="N35" s="822"/>
      <x:c r="O35" s="821"/>
      <x:c r="P35" s="81"/>
      <x:c r="Q35" s="82"/>
      <x:c r="R35" s="83"/>
      <x:c r="S35" s="84"/>
      <x:c r="T35" s="80"/>
      <x:c r="U35" s="80"/>
      <x:c r="V35" s="199"/>
      <x:c r="W35" s="199"/>
      <x:c r="X35" s="200"/>
      <x:c r="Y35" s="271"/>
      <x:c r="Z35" s="271"/>
      <x:c r="AA35" s="271"/>
      <x:c r="AB35" s="271"/>
      <x:c r="AC35" s="271"/>
      <x:c r="AD35" s="271"/>
      <x:c r="AE35" s="271"/>
      <x:c r="AF35" s="271"/>
      <x:c r="AG35" s="271"/>
    </x:row>
    <x:row r="36" ht="21" customHeight="1">
      <x:c r="A36" s="85">
        <x:v>30</x:v>
      </x:c>
      <x:c r="B36" s="86"/>
      <x:c r="C36" s="87"/>
      <x:c r="D36" s="88"/>
      <x:c r="E36" s="89"/>
      <x:c r="F36" s="90"/>
      <x:c r="G36" s="91"/>
      <x:c r="H36" s="92"/>
      <x:c r="I36" s="90"/>
      <x:c r="J36" s="824"/>
      <x:c r="K36" s="824"/>
      <x:c r="L36" s="824"/>
      <x:c r="M36" s="824" t="str">
        <x:f t="shared" si="0">IF(COUNTA(B36:L36)=0,"",N(K36)+N(L36))</x:f>
      </x:c>
      <x:c r="N36" s="825"/>
      <x:c r="O36" s="824"/>
      <x:c r="P36" s="97"/>
      <x:c r="Q36" s="98"/>
      <x:c r="R36" s="99"/>
      <x:c r="S36" s="100"/>
      <x:c r="T36" s="95"/>
      <x:c r="U36" s="95"/>
      <x:c r="V36" s="195"/>
      <x:c r="W36" s="195"/>
      <x:c r="X36" s="196"/>
      <x:c r="Y36" s="271"/>
      <x:c r="Z36" s="271"/>
      <x:c r="AA36" s="271"/>
      <x:c r="AB36" s="271"/>
      <x:c r="AC36" s="271"/>
      <x:c r="AD36" s="271"/>
      <x:c r="AE36" s="271"/>
      <x:c r="AF36" s="271"/>
      <x:c r="AG36" s="271"/>
    </x:row>
    <x:row r="37" ht="21" customHeight="1">
      <x:c r="A37" s="101">
        <x:v>31</x:v>
      </x:c>
      <x:c r="B37" s="102"/>
      <x:c r="C37" s="103"/>
      <x:c r="D37" s="104"/>
      <x:c r="E37" s="105"/>
      <x:c r="F37" s="106"/>
      <x:c r="G37" s="124"/>
      <x:c r="H37" s="108"/>
      <x:c r="I37" s="106"/>
      <x:c r="J37" s="826"/>
      <x:c r="K37" s="826"/>
      <x:c r="L37" s="826"/>
      <x:c r="M37" s="826" t="str">
        <x:f t="shared" si="0">IF(COUNTA(B37:L37)=0,"",N(K37)+N(L37))</x:f>
      </x:c>
      <x:c r="N37" s="827"/>
      <x:c r="O37" s="826"/>
      <x:c r="P37" s="112"/>
      <x:c r="Q37" s="113"/>
      <x:c r="R37" s="114"/>
      <x:c r="S37" s="115"/>
      <x:c r="T37" s="111"/>
      <x:c r="U37" s="111"/>
      <x:c r="V37" s="197"/>
      <x:c r="W37" s="197"/>
      <x:c r="X37" s="198"/>
      <x:c r="Y37" s="271"/>
      <x:c r="Z37" s="271"/>
      <x:c r="AA37" s="271"/>
      <x:c r="AB37" s="271"/>
      <x:c r="AC37" s="271"/>
      <x:c r="AD37" s="271"/>
      <x:c r="AE37" s="271"/>
      <x:c r="AF37" s="271"/>
      <x:c r="AG37" s="271"/>
    </x:row>
    <x:row r="38" ht="21" customHeight="1">
      <x:c r="A38" s="70">
        <x:v>32</x:v>
      </x:c>
      <x:c r="B38" s="71"/>
      <x:c r="C38" s="72"/>
      <x:c r="D38" s="73"/>
      <x:c r="E38" s="74"/>
      <x:c r="F38" s="75"/>
      <x:c r="G38" s="125"/>
      <x:c r="H38" s="77"/>
      <x:c r="I38" s="75"/>
      <x:c r="J38" s="821"/>
      <x:c r="K38" s="821"/>
      <x:c r="L38" s="821"/>
      <x:c r="M38" s="821" t="str">
        <x:f t="shared" si="0">IF(COUNTA(B38:L38)=0,"",N(K38)+N(L38))</x:f>
      </x:c>
      <x:c r="N38" s="822"/>
      <x:c r="O38" s="821"/>
      <x:c r="P38" s="81"/>
      <x:c r="Q38" s="82"/>
      <x:c r="R38" s="83"/>
      <x:c r="S38" s="84"/>
      <x:c r="T38" s="80"/>
      <x:c r="U38" s="80"/>
      <x:c r="V38" s="199"/>
      <x:c r="W38" s="199"/>
      <x:c r="X38" s="200"/>
      <x:c r="Y38" s="271"/>
      <x:c r="Z38" s="271"/>
      <x:c r="AA38" s="271"/>
      <x:c r="AB38" s="271"/>
      <x:c r="AC38" s="271"/>
      <x:c r="AD38" s="271"/>
      <x:c r="AE38" s="271"/>
      <x:c r="AF38" s="271"/>
      <x:c r="AG38" s="271"/>
    </x:row>
    <x:row r="39" ht="21" customHeight="1">
      <x:c r="A39" s="70">
        <x:v>33</x:v>
      </x:c>
      <x:c r="B39" s="71"/>
      <x:c r="C39" s="72"/>
      <x:c r="D39" s="73"/>
      <x:c r="E39" s="74"/>
      <x:c r="F39" s="75"/>
      <x:c r="G39" s="125"/>
      <x:c r="H39" s="77"/>
      <x:c r="I39" s="75"/>
      <x:c r="J39" s="821"/>
      <x:c r="K39" s="821"/>
      <x:c r="L39" s="821"/>
      <x:c r="M39" s="821" t="str">
        <x:f t="shared" si="0">IF(COUNTA(B39:L39)=0,"",N(K39)+N(L39))</x:f>
      </x:c>
      <x:c r="N39" s="822"/>
      <x:c r="O39" s="821"/>
      <x:c r="P39" s="81"/>
      <x:c r="Q39" s="82"/>
      <x:c r="R39" s="83"/>
      <x:c r="S39" s="84"/>
      <x:c r="T39" s="80"/>
      <x:c r="U39" s="131"/>
      <x:c r="V39" s="195"/>
      <x:c r="W39" s="195"/>
      <x:c r="X39" s="196"/>
      <x:c r="Y39" s="271"/>
      <x:c r="Z39" s="271"/>
      <x:c r="AA39" s="271"/>
      <x:c r="AB39" s="271"/>
      <x:c r="AC39" s="271"/>
      <x:c r="AD39" s="271"/>
      <x:c r="AE39" s="271"/>
      <x:c r="AF39" s="271"/>
      <x:c r="AG39" s="271"/>
    </x:row>
    <x:row r="40" ht="21" customHeight="1">
      <x:c r="A40" s="70">
        <x:v>34</x:v>
      </x:c>
      <x:c r="B40" s="71"/>
      <x:c r="C40" s="72"/>
      <x:c r="D40" s="73"/>
      <x:c r="E40" s="74"/>
      <x:c r="F40" s="75"/>
      <x:c r="G40" s="125"/>
      <x:c r="H40" s="77"/>
      <x:c r="I40" s="75"/>
      <x:c r="J40" s="821"/>
      <x:c r="K40" s="821"/>
      <x:c r="L40" s="821"/>
      <x:c r="M40" s="821" t="str">
        <x:f t="shared" si="0">IF(COUNTA(B40:L40)=0,"",N(K40)+N(L40))</x:f>
      </x:c>
      <x:c r="N40" s="822"/>
      <x:c r="O40" s="821"/>
      <x:c r="P40" s="81"/>
      <x:c r="Q40" s="82"/>
      <x:c r="R40" s="83"/>
      <x:c r="S40" s="84"/>
      <x:c r="T40" s="80"/>
      <x:c r="U40" s="155"/>
      <x:c r="V40" s="197"/>
      <x:c r="W40" s="197"/>
      <x:c r="X40" s="198"/>
      <x:c r="Y40" s="271"/>
      <x:c r="Z40" s="271"/>
      <x:c r="AA40" s="271"/>
      <x:c r="AB40" s="271"/>
      <x:c r="AC40" s="271"/>
      <x:c r="AD40" s="271"/>
      <x:c r="AE40" s="271"/>
      <x:c r="AF40" s="271"/>
      <x:c r="AG40" s="271"/>
    </x:row>
    <x:row r="41" ht="21" customHeight="1">
      <x:c r="A41" s="85">
        <x:v>35</x:v>
      </x:c>
      <x:c r="B41" s="86"/>
      <x:c r="C41" s="87"/>
      <x:c r="D41" s="88"/>
      <x:c r="E41" s="89"/>
      <x:c r="F41" s="90"/>
      <x:c r="G41" s="126"/>
      <x:c r="H41" s="92"/>
      <x:c r="I41" s="90"/>
      <x:c r="J41" s="824"/>
      <x:c r="K41" s="824"/>
      <x:c r="L41" s="824"/>
      <x:c r="M41" s="824" t="str">
        <x:f t="shared" si="0">IF(COUNTA(B41:L41)=0,"",N(K41)+N(L41))</x:f>
      </x:c>
      <x:c r="N41" s="825"/>
      <x:c r="O41" s="824"/>
      <x:c r="P41" s="97"/>
      <x:c r="Q41" s="98"/>
      <x:c r="R41" s="99"/>
      <x:c r="S41" s="100"/>
      <x:c r="T41" s="95"/>
      <x:c r="U41" s="95"/>
      <x:c r="V41" s="195"/>
      <x:c r="W41" s="195"/>
      <x:c r="X41" s="196"/>
      <x:c r="Y41" s="271"/>
      <x:c r="Z41" s="271"/>
      <x:c r="AA41" s="271"/>
      <x:c r="AB41" s="271"/>
      <x:c r="AC41" s="271"/>
      <x:c r="AD41" s="271"/>
      <x:c r="AE41" s="271"/>
      <x:c r="AF41" s="271"/>
      <x:c r="AG41" s="271"/>
    </x:row>
    <x:row r="42" ht="21" customHeight="1">
      <x:c r="A42" s="101">
        <x:v>36</x:v>
      </x:c>
      <x:c r="B42" s="102"/>
      <x:c r="C42" s="103"/>
      <x:c r="D42" s="104"/>
      <x:c r="E42" s="105"/>
      <x:c r="F42" s="106"/>
      <x:c r="G42" s="124"/>
      <x:c r="H42" s="108"/>
      <x:c r="I42" s="106"/>
      <x:c r="J42" s="826"/>
      <x:c r="K42" s="826"/>
      <x:c r="L42" s="826"/>
      <x:c r="M42" s="826" t="str">
        <x:f t="shared" si="0">IF(COUNTA(B42:L42)=0,"",N(K42)+N(L42))</x:f>
      </x:c>
      <x:c r="N42" s="827"/>
      <x:c r="O42" s="826"/>
      <x:c r="P42" s="112"/>
      <x:c r="Q42" s="113"/>
      <x:c r="R42" s="114"/>
      <x:c r="S42" s="115"/>
      <x:c r="T42" s="111"/>
      <x:c r="U42" s="111"/>
      <x:c r="V42" s="197"/>
      <x:c r="W42" s="197"/>
      <x:c r="X42" s="198"/>
      <x:c r="Y42" s="271"/>
      <x:c r="Z42" s="271"/>
      <x:c r="AA42" s="271"/>
      <x:c r="AB42" s="271"/>
      <x:c r="AC42" s="271"/>
      <x:c r="AD42" s="271"/>
      <x:c r="AE42" s="271"/>
      <x:c r="AF42" s="271"/>
      <x:c r="AG42" s="271"/>
    </x:row>
    <x:row r="43" ht="21" customHeight="1">
      <x:c r="A43" s="70">
        <x:v>37</x:v>
      </x:c>
      <x:c r="B43" s="71"/>
      <x:c r="C43" s="72"/>
      <x:c r="D43" s="73"/>
      <x:c r="E43" s="74"/>
      <x:c r="F43" s="75"/>
      <x:c r="G43" s="125"/>
      <x:c r="H43" s="77"/>
      <x:c r="I43" s="75"/>
      <x:c r="J43" s="821"/>
      <x:c r="K43" s="821"/>
      <x:c r="L43" s="821"/>
      <x:c r="M43" s="821" t="str">
        <x:f t="shared" si="0">IF(COUNTA(B43:L43)=0,"",N(K43)+N(L43))</x:f>
      </x:c>
      <x:c r="N43" s="822"/>
      <x:c r="O43" s="821"/>
      <x:c r="P43" s="81"/>
      <x:c r="Q43" s="82"/>
      <x:c r="R43" s="83"/>
      <x:c r="S43" s="84"/>
      <x:c r="T43" s="80"/>
      <x:c r="U43" s="80"/>
      <x:c r="V43" s="199"/>
      <x:c r="W43" s="199"/>
      <x:c r="X43" s="200"/>
      <x:c r="Y43" s="271"/>
      <x:c r="Z43" s="271"/>
      <x:c r="AA43" s="271"/>
      <x:c r="AB43" s="271"/>
      <x:c r="AC43" s="271"/>
      <x:c r="AD43" s="271"/>
      <x:c r="AE43" s="271"/>
      <x:c r="AF43" s="271"/>
      <x:c r="AG43" s="271"/>
    </x:row>
    <x:row r="44" ht="21" customHeight="1">
      <x:c r="A44" s="70">
        <x:v>38</x:v>
      </x:c>
      <x:c r="B44" s="71"/>
      <x:c r="C44" s="72"/>
      <x:c r="D44" s="73"/>
      <x:c r="E44" s="74"/>
      <x:c r="F44" s="75"/>
      <x:c r="G44" s="125"/>
      <x:c r="H44" s="77"/>
      <x:c r="I44" s="75"/>
      <x:c r="J44" s="821"/>
      <x:c r="K44" s="821"/>
      <x:c r="L44" s="821"/>
      <x:c r="M44" s="821" t="str">
        <x:f t="shared" si="0">IF(COUNTA(B44:L44)=0,"",N(K44)+N(L44))</x:f>
      </x:c>
      <x:c r="N44" s="822"/>
      <x:c r="O44" s="821"/>
      <x:c r="P44" s="81"/>
      <x:c r="Q44" s="82"/>
      <x:c r="R44" s="83"/>
      <x:c r="S44" s="84"/>
      <x:c r="T44" s="80"/>
      <x:c r="U44" s="80"/>
      <x:c r="V44" s="199"/>
      <x:c r="W44" s="199"/>
      <x:c r="X44" s="200"/>
      <x:c r="Y44" s="271"/>
      <x:c r="Z44" s="271"/>
      <x:c r="AA44" s="271"/>
      <x:c r="AB44" s="271"/>
      <x:c r="AC44" s="271"/>
      <x:c r="AD44" s="271"/>
      <x:c r="AE44" s="271"/>
      <x:c r="AF44" s="271"/>
      <x:c r="AG44" s="271"/>
    </x:row>
    <x:row r="45" ht="21" customHeight="1">
      <x:c r="A45" s="70">
        <x:v>39</x:v>
      </x:c>
      <x:c r="B45" s="71"/>
      <x:c r="C45" s="72"/>
      <x:c r="D45" s="73"/>
      <x:c r="E45" s="74"/>
      <x:c r="F45" s="75"/>
      <x:c r="G45" s="125"/>
      <x:c r="H45" s="77"/>
      <x:c r="I45" s="75"/>
      <x:c r="J45" s="821"/>
      <x:c r="K45" s="821"/>
      <x:c r="L45" s="821"/>
      <x:c r="M45" s="821" t="str">
        <x:f t="shared" si="0">IF(COUNTA(B45:L45)=0,"",N(K45)+N(L45))</x:f>
      </x:c>
      <x:c r="N45" s="822"/>
      <x:c r="O45" s="821"/>
      <x:c r="P45" s="81"/>
      <x:c r="Q45" s="82"/>
      <x:c r="R45" s="83"/>
      <x:c r="S45" s="84"/>
      <x:c r="T45" s="80"/>
      <x:c r="U45" s="80"/>
      <x:c r="V45" s="199"/>
      <x:c r="W45" s="199"/>
      <x:c r="X45" s="200"/>
      <x:c r="Y45" s="271"/>
      <x:c r="Z45" s="271"/>
      <x:c r="AA45" s="271"/>
      <x:c r="AB45" s="271"/>
      <x:c r="AC45" s="271"/>
      <x:c r="AD45" s="271"/>
      <x:c r="AE45" s="271"/>
      <x:c r="AF45" s="271"/>
      <x:c r="AG45" s="271"/>
    </x:row>
    <x:row r="46" ht="21" customHeight="1">
      <x:c r="A46" s="85">
        <x:v>40</x:v>
      </x:c>
      <x:c r="B46" s="86"/>
      <x:c r="C46" s="87"/>
      <x:c r="D46" s="88"/>
      <x:c r="E46" s="89"/>
      <x:c r="F46" s="90"/>
      <x:c r="G46" s="126"/>
      <x:c r="H46" s="92"/>
      <x:c r="I46" s="90"/>
      <x:c r="J46" s="824"/>
      <x:c r="K46" s="824"/>
      <x:c r="L46" s="824"/>
      <x:c r="M46" s="824" t="str">
        <x:f t="shared" si="0">IF(COUNTA(B46:L46)=0,"",N(K46)+N(L46))</x:f>
      </x:c>
      <x:c r="N46" s="825"/>
      <x:c r="O46" s="824"/>
      <x:c r="P46" s="127"/>
      <x:c r="Q46" s="128"/>
      <x:c r="R46" s="129"/>
      <x:c r="S46" s="130"/>
      <x:c r="T46" s="131"/>
      <x:c r="U46" s="156"/>
      <x:c r="V46" s="209"/>
      <x:c r="W46" s="209"/>
      <x:c r="X46" s="210"/>
      <x:c r="Y46" s="271"/>
      <x:c r="Z46" s="271"/>
      <x:c r="AA46" s="271"/>
      <x:c r="AB46" s="271"/>
      <x:c r="AC46" s="271"/>
      <x:c r="AD46" s="271"/>
      <x:c r="AE46" s="271"/>
      <x:c r="AF46" s="271"/>
      <x:c r="AG46" s="271"/>
    </x:row>
    <x:row r="47" ht="21" customHeight="1">
      <x:c r="A47" s="181"/>
      <x:c r="B47" s="182"/>
      <x:c r="C47" s="183"/>
      <x:c r="D47" s="183"/>
      <x:c r="E47" s="183"/>
      <x:c r="F47" s="184"/>
      <x:c r="G47" s="185"/>
      <x:c r="H47" s="182"/>
      <x:c r="I47" s="186"/>
      <x:c r="J47" s="829"/>
      <x:c r="K47" s="829"/>
      <x:c r="L47" s="829"/>
      <x:c r="M47" s="829"/>
      <x:c r="N47" s="829"/>
      <x:c r="O47" s="829"/>
      <x:c r="P47" s="217" t="s">
        <x:v>30</x:v>
      </x:c>
      <x:c r="Q47" s="218"/>
      <x:c r="R47" s="218"/>
      <x:c r="S47" s="218"/>
      <x:c r="T47" s="218"/>
      <x:c r="U47" s="218"/>
      <x:c r="V47" s="218"/>
      <x:c r="W47" s="218"/>
      <x:c r="X47" s="219"/>
      <x:c r="Y47" s="271"/>
      <x:c r="Z47" s="271"/>
      <x:c r="AA47" s="271"/>
      <x:c r="AB47" s="271"/>
      <x:c r="AC47" s="271"/>
      <x:c r="AD47" s="271"/>
      <x:c r="AE47" s="271"/>
      <x:c r="AF47" s="271"/>
      <x:c r="AG47" s="271"/>
    </x:row>
    <x:row r="48" ht="21" customHeight="1">
      <x:c r="A48" s="292"/>
      <x:c r="B48" s="293"/>
      <x:c r="C48" s="293"/>
      <x:c r="D48" s="293"/>
      <x:c r="E48" s="293"/>
      <x:c r="F48" s="294"/>
      <x:c r="G48" s="157"/>
      <x:c r="H48" s="158" t="n">
        <x:f t="shared" ref="H48:O48" si="1">SUM(H7:H46)</x:f>
        <x:v>0</x:v>
      </x:c>
      <x:c r="I48" s="159" t="n">
        <x:f t="shared" si="1">SUM(I7:I46)</x:f>
        <x:v>0</x:v>
      </x:c>
      <x:c r="J48" s="830" t="n">
        <x:f t="shared" si="1">SUM(J7:J46)</x:f>
        <x:v>0</x:v>
      </x:c>
      <x:c r="K48" s="830" t="n">
        <x:f t="shared" si="1">SUM(K7:K46)</x:f>
        <x:v>0</x:v>
      </x:c>
      <x:c r="L48" s="831" t="n">
        <x:f t="shared" si="1">SUM(L7:L46)</x:f>
        <x:v>0</x:v>
      </x:c>
      <x:c r="M48" s="830" t="n">
        <x:f t="shared" si="1">SUM(M7:M46)</x:f>
        <x:v>0</x:v>
      </x:c>
      <x:c r="N48" s="830" t="n">
        <x:f t="shared" si="1">SUM(N7:N46)</x:f>
        <x:v>0</x:v>
      </x:c>
      <x:c r="O48" s="830" t="n">
        <x:f t="shared" si="1">SUM(O7:O46)</x:f>
        <x:v>0</x:v>
      </x:c>
      <x:c r="P48" s="211"/>
      <x:c r="Q48" s="212"/>
      <x:c r="R48" s="212"/>
      <x:c r="S48" s="212"/>
      <x:c r="T48" s="212"/>
      <x:c r="U48" s="212"/>
      <x:c r="V48" s="212"/>
      <x:c r="W48" s="212"/>
      <x:c r="X48" s="213"/>
      <x:c r="Y48" s="271"/>
      <x:c r="Z48" s="271"/>
      <x:c r="AA48" s="271"/>
      <x:c r="AB48" s="271"/>
      <x:c r="AC48" s="271"/>
      <x:c r="AD48" s="271"/>
      <x:c r="AE48" s="271"/>
      <x:c r="AF48" s="271"/>
      <x:c r="AG48" s="271"/>
    </x:row>
    <x:row r="49" ht="21" customHeight="1">
      <x:c r="A49" s="313" t="s">
        <x:v>31</x:v>
      </x:c>
      <x:c r="B49" s="314"/>
      <x:c r="C49" s="314"/>
      <x:c r="D49" s="314"/>
      <x:c r="E49" s="314"/>
      <x:c r="F49" s="314"/>
      <x:c r="G49" s="314"/>
      <x:c r="H49" s="314"/>
      <x:c r="I49" s="203" t="n">
        <x:f>SUM(H48:I48)</x:f>
        <x:v>0</x:v>
      </x:c>
      <x:c r="J49" s="832"/>
      <x:c r="K49" s="833"/>
      <x:c r="L49" s="834"/>
      <x:c r="M49" s="835" t="s">
        <x:v>32</x:v>
      </x:c>
      <x:c r="N49" s="836" t="n">
        <x:f>IF(N48&gt;0,N48*25%,0)</x:f>
        <x:v>0</x:v>
      </x:c>
      <x:c r="O49" s="837"/>
      <x:c r="P49" s="211"/>
      <x:c r="Q49" s="212"/>
      <x:c r="R49" s="212"/>
      <x:c r="S49" s="212"/>
      <x:c r="T49" s="212"/>
      <x:c r="U49" s="212"/>
      <x:c r="V49" s="212"/>
      <x:c r="W49" s="212"/>
      <x:c r="X49" s="213"/>
      <x:c r="Y49" s="271"/>
      <x:c r="Z49" s="271"/>
      <x:c r="AA49" s="271"/>
      <x:c r="AB49" s="271"/>
      <x:c r="AC49" s="271"/>
      <x:c r="AD49" s="271"/>
      <x:c r="AE49" s="271"/>
      <x:c r="AF49" s="271"/>
      <x:c r="AG49" s="271"/>
    </x:row>
    <x:row r="50" ht="21" customHeight="1">
      <x:c r="A50" s="252" t="s">
        <x:v>33</x:v>
      </x:c>
      <x:c r="B50" s="253"/>
      <x:c r="C50" s="253"/>
      <x:c r="D50" s="253"/>
      <x:c r="E50" s="253"/>
      <x:c r="F50" s="253"/>
      <x:c r="G50" s="253"/>
      <x:c r="H50" s="253"/>
      <x:c r="I50" s="254" t="n">
        <x:f>COUNTIF(N7:O46,"&gt;0")</x:f>
        <x:v>0</x:v>
      </x:c>
      <x:c r="J50" s="838"/>
      <x:c r="K50" s="839"/>
      <x:c r="L50" s="840"/>
      <x:c r="M50" s="841" t="s">
        <x:v>34</x:v>
      </x:c>
      <x:c r="N50" s="842"/>
      <x:c r="O50" s="843" t="n">
        <x:f>IF(J48&gt;=701.1,O48*19%,0)</x:f>
        <x:v>0</x:v>
      </x:c>
      <x:c r="P50" s="211"/>
      <x:c r="Q50" s="212"/>
      <x:c r="R50" s="212"/>
      <x:c r="S50" s="212"/>
      <x:c r="T50" s="212"/>
      <x:c r="U50" s="212"/>
      <x:c r="V50" s="212"/>
      <x:c r="W50" s="212"/>
      <x:c r="X50" s="213"/>
      <x:c r="Y50" s="271"/>
      <x:c r="Z50" s="271"/>
      <x:c r="AA50" s="271"/>
      <x:c r="AB50" s="271"/>
      <x:c r="AC50" s="271"/>
      <x:c r="AD50" s="271"/>
      <x:c r="AE50" s="271"/>
      <x:c r="AF50" s="271"/>
      <x:c r="AG50" s="271"/>
    </x:row>
    <x:row r="51" ht="21" customHeight="1">
      <x:c r="A51" s="252" t="s">
        <x:v>35</x:v>
      </x:c>
      <x:c r="B51" s="253"/>
      <x:c r="C51" s="253"/>
      <x:c r="D51" s="253"/>
      <x:c r="E51" s="253"/>
      <x:c r="F51" s="253"/>
      <x:c r="G51" s="253"/>
      <x:c r="H51" s="253"/>
      <x:c r="I51" s="254">
        <x:v>0</x:v>
      </x:c>
      <x:c r="J51" s="838"/>
      <x:c r="K51" s="839"/>
      <x:c r="L51" s="840"/>
      <x:c r="M51" s="844" t="s">
        <x:v>36</x:v>
      </x:c>
      <x:c r="N51" s="845"/>
      <x:c r="O51" s="846" t="n">
        <x:f>IF(J48&gt;601.1,O48*10%,0)</x:f>
        <x:v>0</x:v>
      </x:c>
      <x:c r="P51" s="211"/>
      <x:c r="Q51" s="212"/>
      <x:c r="R51" s="212"/>
      <x:c r="S51" s="212"/>
      <x:c r="T51" s="212"/>
      <x:c r="U51" s="212"/>
      <x:c r="V51" s="212"/>
      <x:c r="W51" s="212"/>
      <x:c r="X51" s="213"/>
      <x:c r="Y51" s="271"/>
      <x:c r="Z51" s="271"/>
      <x:c r="AA51" s="271"/>
      <x:c r="AB51" s="271"/>
      <x:c r="AC51" s="271"/>
      <x:c r="AD51" s="271"/>
      <x:c r="AE51" s="271"/>
      <x:c r="AF51" s="271"/>
      <x:c r="AG51" s="271"/>
    </x:row>
    <x:row r="52" ht="21" customHeight="1">
      <x:c r="A52" s="252" t="s">
        <x:v>37</x:v>
      </x:c>
      <x:c r="B52" s="253"/>
      <x:c r="C52" s="253"/>
      <x:c r="D52" s="253"/>
      <x:c r="E52" s="253"/>
      <x:c r="F52" s="253"/>
      <x:c r="G52" s="253"/>
      <x:c r="H52" s="253"/>
      <x:c r="I52" s="254" t="n">
        <x:f>COUNTIF(R7:R46,"K")+COUNTIF(R7:R46,"L")+COUNTIF(R7:R46,"LL")</x:f>
        <x:v>0</x:v>
      </x:c>
      <x:c r="J52" s="838"/>
      <x:c r="K52" s="839"/>
      <x:c r="L52" s="840"/>
      <x:c r="M52" s="847" t="s">
        <x:v>38</x:v>
      </x:c>
      <x:c r="N52" s="848"/>
      <x:c r="O52" s="849" t="n">
        <x:f>IF(J48&gt;601,0,IF(J48&gt;500,O48*5%,0))</x:f>
        <x:v>0</x:v>
      </x:c>
      <x:c r="P52" s="180"/>
      <x:c r="Q52" s="148" t="s">
        <x:v>39</x:v>
      </x:c>
      <x:c r="R52" s="263" t="s">
        <x:v>40</x:v>
      </x:c>
      <x:c r="S52" s="264"/>
      <x:c r="T52" s="264"/>
      <x:c r="U52" s="264"/>
      <x:c r="V52" s="265"/>
      <x:c r="W52" s="263" t="s">
        <x:v>41</x:v>
      </x:c>
      <x:c r="X52" s="266"/>
      <x:c r="Y52" s="271"/>
      <x:c r="Z52" s="271"/>
      <x:c r="AA52" s="271"/>
      <x:c r="AB52" s="271"/>
      <x:c r="AC52" s="271"/>
      <x:c r="AD52" s="271"/>
      <x:c r="AE52" s="271"/>
      <x:c r="AF52" s="271"/>
      <x:c r="AG52" s="271"/>
    </x:row>
    <x:row r="53" ht="21" customHeight="1">
      <x:c r="A53" s="252" t="s">
        <x:v>42</x:v>
      </x:c>
      <x:c r="B53" s="253"/>
      <x:c r="C53" s="253"/>
      <x:c r="D53" s="253"/>
      <x:c r="E53" s="253"/>
      <x:c r="F53" s="253"/>
      <x:c r="G53" s="253"/>
      <x:c r="H53" s="253"/>
      <x:c r="I53" s="254" t="n">
        <x:f>J48</x:f>
        <x:v>0</x:v>
      </x:c>
      <x:c r="J53" s="838"/>
      <x:c r="K53" s="850" t="s">
        <x:v>43</x:v>
      </x:c>
      <x:c r="L53" s="840"/>
      <x:c r="M53" s="849" t="s">
        <x:v>44</x:v>
      </x:c>
      <x:c r="N53" s="851"/>
      <x:c r="O53" s="851"/>
      <x:c r="P53" s="262"/>
      <x:c r="Q53" s="817" t="n">
        <x:f>TODAY()</x:f>
        <x:v>46208</x:v>
      </x:c>
      <x:c r="R53" s="249"/>
      <x:c r="S53" s="250"/>
      <x:c r="T53" s="250"/>
      <x:c r="U53" s="250"/>
      <x:c r="V53" s="251"/>
      <x:c r="W53" s="245"/>
      <x:c r="X53" s="246"/>
      <x:c r="Y53" s="271"/>
      <x:c r="Z53" s="271"/>
      <x:c r="AA53" s="271"/>
      <x:c r="AB53" s="271"/>
      <x:c r="AC53" s="271"/>
      <x:c r="AD53" s="271"/>
      <x:c r="AE53" s="271"/>
      <x:c r="AF53" s="271"/>
      <x:c r="AG53" s="271"/>
    </x:row>
    <x:row r="54" ht="21" customHeight="1">
      <x:c r="A54" s="252" t="s">
        <x:v>45</x:v>
      </x:c>
      <x:c r="B54" s="253"/>
      <x:c r="C54" s="253"/>
      <x:c r="D54" s="253"/>
      <x:c r="E54" s="253"/>
      <x:c r="F54" s="253"/>
      <x:c r="G54" s="253"/>
      <x:c r="H54" s="253"/>
      <x:c r="I54" s="254" t="n">
        <x:f>MAX(0,SUM(N48:O48)-SUM(N49,O50,O51,O52))</x:f>
        <x:v>0</x:v>
      </x:c>
      <x:c r="J54" s="838"/>
      <x:c r="K54" s="850" t="s">
        <x:v>46</x:v>
      </x:c>
      <x:c r="L54" s="840"/>
      <x:c r="M54" s="849" t="s">
        <x:v>47</x:v>
      </x:c>
      <x:c r="N54" s="851"/>
      <x:c r="O54" s="851"/>
      <x:c r="P54" s="258"/>
      <x:c r="Q54" s="817" t="n">
        <x:f t="shared" ref="Q54:Q55" si="2">TODAY()</x:f>
        <x:v>46208</x:v>
      </x:c>
      <x:c r="R54" s="249"/>
      <x:c r="S54" s="250"/>
      <x:c r="T54" s="250"/>
      <x:c r="U54" s="250"/>
      <x:c r="V54" s="251"/>
      <x:c r="W54" s="245"/>
      <x:c r="X54" s="246"/>
      <x:c r="Y54" s="271"/>
      <x:c r="Z54" s="271"/>
      <x:c r="AA54" s="271"/>
      <x:c r="AB54" s="271"/>
      <x:c r="AC54" s="271"/>
      <x:c r="AD54" s="271"/>
      <x:c r="AE54" s="271"/>
      <x:c r="AF54" s="271"/>
      <x:c r="AG54" s="271"/>
    </x:row>
    <x:row r="55" ht="21" customHeight="1">
      <x:c r="A55" s="308" t="s">
        <x:v>48</x:v>
      </x:c>
      <x:c r="B55" s="309"/>
      <x:c r="C55" s="309"/>
      <x:c r="D55" s="309"/>
      <x:c r="E55" s="309"/>
      <x:c r="F55" s="309"/>
      <x:c r="G55" s="309"/>
      <x:c r="H55" s="309"/>
      <x:c r="I55" s="255" t="n">
        <x:f>M48</x:f>
        <x:v>0</x:v>
      </x:c>
      <x:c r="J55" s="852"/>
      <x:c r="K55" s="853" t="s">
        <x:v>46</x:v>
      </x:c>
      <x:c r="L55" s="854"/>
      <x:c r="M55" s="855" t="s">
        <x:v>49</x:v>
      </x:c>
      <x:c r="N55" s="856"/>
      <x:c r="O55" s="856"/>
      <x:c r="P55" s="261"/>
      <x:c r="Q55" s="189">
        <x:f t="shared" si="2"/>
        <x:v>46024</x:v>
      </x:c>
      <x:c r="R55" s="310"/>
      <x:c r="S55" s="311"/>
      <x:c r="T55" s="311"/>
      <x:c r="U55" s="311"/>
      <x:c r="V55" s="312"/>
      <x:c r="W55" s="247"/>
      <x:c r="X55" s="248"/>
      <x:c r="Y55" s="271"/>
      <x:c r="Z55" s="271"/>
      <x:c r="AA55" s="271"/>
      <x:c r="AB55" s="271"/>
      <x:c r="AC55" s="271"/>
      <x:c r="AD55" s="271"/>
      <x:c r="AE55" s="271"/>
      <x:c r="AF55" s="271"/>
      <x:c r="AG55" s="271"/>
    </x:row>
    <x:row r="56" ht="15" customHeight="1">
      <x:c r="A56" s="272"/>
      <x:c r="B56" s="272"/>
      <x:c r="C56" s="272"/>
      <x:c r="D56" s="272"/>
      <x:c r="E56" s="272"/>
      <x:c r="F56" s="272"/>
      <x:c r="G56" s="272"/>
      <x:c r="H56" s="272"/>
      <x:c r="I56" s="272"/>
      <x:c r="J56" s="272"/>
      <x:c r="K56" s="272"/>
      <x:c r="L56" s="272"/>
      <x:c r="M56" s="272"/>
      <x:c r="N56" s="272"/>
      <x:c r="O56" s="272"/>
      <x:c r="P56" s="272"/>
      <x:c r="Q56" s="272"/>
      <x:c r="R56" s="272"/>
      <x:c r="S56" s="272"/>
      <x:c r="T56" s="272"/>
      <x:c r="U56" s="272"/>
      <x:c r="V56" s="272"/>
      <x:c r="W56" s="272"/>
      <x:c r="X56" s="272"/>
      <x:c r="Y56" s="271"/>
      <x:c r="Z56" s="271"/>
      <x:c r="AA56" s="271"/>
      <x:c r="AB56" s="271"/>
      <x:c r="AC56" s="271"/>
      <x:c r="AD56" s="271"/>
      <x:c r="AE56" s="271"/>
      <x:c r="AF56" s="271"/>
      <x:c r="AG56" s="271"/>
    </x:row>
    <x:row r="57" ht="15" customHeight="1">
      <x:c r="A57" s="272"/>
      <x:c r="B57" s="272"/>
      <x:c r="C57" s="272"/>
      <x:c r="D57" s="272"/>
      <x:c r="E57" s="272"/>
      <x:c r="F57" s="272"/>
      <x:c r="G57" s="272"/>
      <x:c r="H57" s="272"/>
      <x:c r="I57" s="272"/>
      <x:c r="J57" s="272"/>
      <x:c r="K57" s="272"/>
      <x:c r="L57" s="272"/>
      <x:c r="M57" s="272"/>
      <x:c r="N57" s="272"/>
      <x:c r="O57" s="272"/>
      <x:c r="P57" s="272"/>
      <x:c r="Q57" s="272"/>
      <x:c r="R57" s="272"/>
      <x:c r="S57" s="272"/>
      <x:c r="T57" s="272"/>
      <x:c r="U57" s="272"/>
      <x:c r="V57" s="272"/>
      <x:c r="W57" s="272"/>
      <x:c r="X57" s="272"/>
      <x:c r="Y57" s="271"/>
      <x:c r="Z57" s="271"/>
      <x:c r="AA57" s="271"/>
      <x:c r="AB57" s="271"/>
      <x:c r="AC57" s="271"/>
      <x:c r="AD57" s="271"/>
      <x:c r="AE57" s="271"/>
      <x:c r="AF57" s="271"/>
      <x:c r="AG57" s="271"/>
    </x:row>
    <x:row r="58">
      <x:c r="A58" s="272"/>
      <x:c r="B58" s="272"/>
      <x:c r="C58" s="272"/>
      <x:c r="D58" s="272"/>
      <x:c r="E58" s="272"/>
      <x:c r="F58" s="272"/>
      <x:c r="G58" s="272"/>
      <x:c r="H58" s="272"/>
      <x:c r="I58" s="272"/>
      <x:c r="J58" s="272"/>
      <x:c r="K58" s="272"/>
      <x:c r="L58" s="272"/>
      <x:c r="M58" s="272"/>
      <x:c r="N58" s="272"/>
      <x:c r="O58" s="272"/>
      <x:c r="P58" s="272"/>
      <x:c r="Q58" s="272"/>
      <x:c r="R58" s="272"/>
      <x:c r="S58" s="272"/>
      <x:c r="T58" s="272"/>
      <x:c r="U58" s="272"/>
      <x:c r="V58" s="272"/>
      <x:c r="W58" s="272"/>
      <x:c r="X58" s="272"/>
      <x:c r="Y58" s="271"/>
      <x:c r="Z58" s="271"/>
      <x:c r="AA58" s="271"/>
      <x:c r="AB58" s="271"/>
      <x:c r="AC58" s="271"/>
      <x:c r="AD58" s="271"/>
      <x:c r="AE58" s="271"/>
      <x:c r="AF58" s="271"/>
      <x:c r="AG58" s="271"/>
    </x:row>
    <x:row r="59">
      <x:c r="A59" s="272"/>
      <x:c r="B59" s="272"/>
      <x:c r="C59" s="272"/>
      <x:c r="D59" s="272"/>
      <x:c r="E59" s="272"/>
      <x:c r="F59" s="272"/>
      <x:c r="G59" s="272"/>
      <x:c r="H59" s="272"/>
      <x:c r="I59" s="272"/>
      <x:c r="J59" s="272"/>
      <x:c r="K59" s="272"/>
      <x:c r="L59" s="272"/>
      <x:c r="M59" s="272"/>
      <x:c r="N59" s="272"/>
      <x:c r="O59" s="272"/>
      <x:c r="P59" s="272"/>
      <x:c r="Q59" s="272"/>
      <x:c r="R59" s="272"/>
      <x:c r="S59" s="272"/>
      <x:c r="T59" s="272"/>
      <x:c r="U59" s="272"/>
      <x:c r="V59" s="272"/>
      <x:c r="W59" s="272"/>
      <x:c r="X59" s="272"/>
      <x:c r="Y59" s="271"/>
      <x:c r="Z59" s="271"/>
      <x:c r="AA59" s="271"/>
      <x:c r="AB59" s="271"/>
      <x:c r="AC59" s="271"/>
      <x:c r="AD59" s="271"/>
      <x:c r="AE59" s="271"/>
      <x:c r="AF59" s="271"/>
      <x:c r="AG59" s="271"/>
    </x:row>
    <x:row r="60">
      <x:c r="A60" s="272"/>
      <x:c r="B60" s="272"/>
      <x:c r="C60" s="272"/>
      <x:c r="D60" s="272"/>
      <x:c r="E60" s="272"/>
      <x:c r="F60" s="272"/>
      <x:c r="G60" s="272"/>
      <x:c r="H60" s="272"/>
      <x:c r="I60" s="272"/>
      <x:c r="J60" s="272"/>
      <x:c r="K60" s="272"/>
      <x:c r="L60" s="272"/>
      <x:c r="M60" s="272"/>
      <x:c r="N60" s="272"/>
      <x:c r="O60" s="272"/>
      <x:c r="P60" s="272"/>
      <x:c r="Q60" s="272"/>
      <x:c r="R60" s="272"/>
      <x:c r="S60" s="272"/>
      <x:c r="T60" s="272"/>
      <x:c r="U60" s="272"/>
      <x:c r="V60" s="272"/>
      <x:c r="W60" s="272"/>
      <x:c r="X60" s="272"/>
      <x:c r="Y60" s="271"/>
      <x:c r="Z60" s="271"/>
      <x:c r="AA60" s="271"/>
      <x:c r="AB60" s="271"/>
      <x:c r="AC60" s="271"/>
      <x:c r="AD60" s="271"/>
      <x:c r="AE60" s="271"/>
      <x:c r="AF60" s="271"/>
      <x:c r="AG60" s="271"/>
    </x:row>
    <x:row r="61">
      <x:c r="A61" s="272"/>
      <x:c r="B61" s="272"/>
      <x:c r="C61" s="272"/>
      <x:c r="D61" s="272"/>
      <x:c r="E61" s="272"/>
      <x:c r="F61" s="272"/>
      <x:c r="G61" s="272"/>
      <x:c r="H61" s="272"/>
      <x:c r="I61" s="272"/>
      <x:c r="J61" s="272"/>
      <x:c r="K61" s="272"/>
      <x:c r="L61" s="272"/>
      <x:c r="M61" s="272"/>
      <x:c r="N61" s="272"/>
      <x:c r="O61" s="272"/>
      <x:c r="P61" s="272"/>
      <x:c r="Q61" s="272"/>
      <x:c r="R61" s="272"/>
      <x:c r="S61" s="272"/>
      <x:c r="T61" s="272"/>
      <x:c r="U61" s="272"/>
      <x:c r="V61" s="272"/>
      <x:c r="W61" s="272"/>
      <x:c r="X61" s="272"/>
      <x:c r="Y61" s="271"/>
      <x:c r="Z61" s="271"/>
      <x:c r="AA61" s="271"/>
      <x:c r="AB61" s="271"/>
      <x:c r="AC61" s="271"/>
      <x:c r="AD61" s="271"/>
      <x:c r="AE61" s="271"/>
      <x:c r="AF61" s="271"/>
      <x:c r="AG61" s="271"/>
    </x:row>
    <x:row r="62">
      <x:c r="A62" s="272"/>
      <x:c r="B62" s="272"/>
      <x:c r="C62" s="272"/>
      <x:c r="D62" s="272"/>
      <x:c r="E62" s="272"/>
      <x:c r="F62" s="272"/>
      <x:c r="G62" s="272"/>
      <x:c r="H62" s="272"/>
      <x:c r="I62" s="272"/>
      <x:c r="J62" s="272"/>
      <x:c r="K62" s="272"/>
      <x:c r="L62" s="272"/>
      <x:c r="M62" s="272"/>
      <x:c r="N62" s="272"/>
      <x:c r="O62" s="272"/>
      <x:c r="P62" s="272"/>
      <x:c r="Q62" s="272"/>
      <x:c r="R62" s="272"/>
      <x:c r="S62" s="272"/>
      <x:c r="T62" s="272"/>
      <x:c r="U62" s="272"/>
      <x:c r="V62" s="272"/>
      <x:c r="W62" s="272"/>
      <x:c r="X62" s="272"/>
      <x:c r="Y62" s="271"/>
      <x:c r="Z62" s="271"/>
      <x:c r="AA62" s="271"/>
      <x:c r="AB62" s="271"/>
      <x:c r="AC62" s="271"/>
      <x:c r="AD62" s="271"/>
      <x:c r="AE62" s="271"/>
      <x:c r="AF62" s="271"/>
      <x:c r="AG62" s="271"/>
    </x:row>
    <x:row r="63">
      <x:c r="A63" s="272"/>
      <x:c r="B63" s="272"/>
      <x:c r="C63" s="272"/>
      <x:c r="D63" s="272"/>
      <x:c r="E63" s="272"/>
      <x:c r="F63" s="272"/>
      <x:c r="G63" s="272"/>
      <x:c r="H63" s="272"/>
      <x:c r="I63" s="272"/>
      <x:c r="J63" s="272"/>
      <x:c r="K63" s="272"/>
      <x:c r="L63" s="272"/>
      <x:c r="M63" s="272"/>
      <x:c r="N63" s="272"/>
      <x:c r="O63" s="272"/>
      <x:c r="P63" s="272"/>
      <x:c r="Q63" s="272"/>
      <x:c r="R63" s="272"/>
      <x:c r="S63" s="272"/>
      <x:c r="T63" s="272"/>
      <x:c r="U63" s="272"/>
      <x:c r="V63" s="272"/>
      <x:c r="W63" s="272"/>
      <x:c r="X63" s="272"/>
      <x:c r="Y63" s="271"/>
      <x:c r="Z63" s="271"/>
      <x:c r="AA63" s="271"/>
      <x:c r="AB63" s="271"/>
      <x:c r="AC63" s="271"/>
      <x:c r="AD63" s="271"/>
      <x:c r="AE63" s="271"/>
      <x:c r="AF63" s="271"/>
      <x:c r="AG63" s="271"/>
    </x:row>
    <x:row r="64">
      <x:c r="A64" s="272"/>
      <x:c r="B64" s="272"/>
      <x:c r="C64" s="272"/>
      <x:c r="D64" s="272"/>
      <x:c r="E64" s="272"/>
      <x:c r="F64" s="272"/>
      <x:c r="G64" s="272"/>
      <x:c r="H64" s="272"/>
      <x:c r="I64" s="272"/>
      <x:c r="J64" s="272"/>
      <x:c r="K64" s="272"/>
      <x:c r="L64" s="272"/>
      <x:c r="M64" s="272"/>
      <x:c r="N64" s="272"/>
      <x:c r="O64" s="272"/>
      <x:c r="P64" s="272"/>
      <x:c r="Q64" s="272"/>
      <x:c r="R64" s="272"/>
      <x:c r="S64" s="272"/>
      <x:c r="T64" s="272"/>
      <x:c r="U64" s="272"/>
      <x:c r="V64" s="272"/>
      <x:c r="W64" s="272"/>
      <x:c r="X64" s="272"/>
      <x:c r="Y64" s="271"/>
      <x:c r="Z64" s="271"/>
      <x:c r="AA64" s="271"/>
      <x:c r="AB64" s="271"/>
      <x:c r="AC64" s="271"/>
      <x:c r="AD64" s="271"/>
      <x:c r="AE64" s="271"/>
      <x:c r="AF64" s="271"/>
      <x:c r="AG64" s="271"/>
    </x:row>
    <x:row r="65">
      <x:c r="A65" s="272"/>
      <x:c r="B65" s="272"/>
      <x:c r="C65" s="272"/>
      <x:c r="D65" s="272"/>
      <x:c r="E65" s="272"/>
      <x:c r="F65" s="272"/>
      <x:c r="G65" s="272"/>
      <x:c r="H65" s="272"/>
      <x:c r="I65" s="272"/>
      <x:c r="J65" s="272"/>
      <x:c r="K65" s="272"/>
      <x:c r="L65" s="272"/>
      <x:c r="M65" s="272"/>
      <x:c r="N65" s="272"/>
      <x:c r="O65" s="272"/>
      <x:c r="P65" s="272"/>
      <x:c r="Q65" s="272"/>
      <x:c r="R65" s="272"/>
      <x:c r="S65" s="272"/>
      <x:c r="T65" s="272"/>
      <x:c r="U65" s="272"/>
      <x:c r="V65" s="272"/>
      <x:c r="W65" s="272"/>
      <x:c r="X65" s="272"/>
      <x:c r="Y65" s="271"/>
      <x:c r="Z65" s="271"/>
      <x:c r="AA65" s="271"/>
      <x:c r="AB65" s="271"/>
      <x:c r="AC65" s="271"/>
      <x:c r="AD65" s="271"/>
      <x:c r="AE65" s="271"/>
      <x:c r="AF65" s="271"/>
      <x:c r="AG65" s="271"/>
    </x:row>
    <x:row r="66">
      <x:c r="A66" s="272"/>
      <x:c r="B66" s="272"/>
      <x:c r="C66" s="272"/>
      <x:c r="D66" s="272"/>
      <x:c r="E66" s="272"/>
      <x:c r="F66" s="272"/>
      <x:c r="G66" s="272"/>
      <x:c r="H66" s="272"/>
      <x:c r="I66" s="272"/>
      <x:c r="J66" s="272"/>
      <x:c r="K66" s="272"/>
      <x:c r="L66" s="272"/>
      <x:c r="M66" s="272"/>
      <x:c r="N66" s="272"/>
      <x:c r="O66" s="272"/>
      <x:c r="P66" s="272"/>
      <x:c r="Q66" s="272"/>
      <x:c r="R66" s="272"/>
      <x:c r="S66" s="272"/>
      <x:c r="T66" s="272"/>
      <x:c r="U66" s="272"/>
      <x:c r="V66" s="272"/>
      <x:c r="W66" s="272"/>
      <x:c r="X66" s="272"/>
      <x:c r="Y66" s="271"/>
      <x:c r="Z66" s="271"/>
      <x:c r="AA66" s="271"/>
      <x:c r="AB66" s="271"/>
      <x:c r="AC66" s="271"/>
      <x:c r="AD66" s="271"/>
      <x:c r="AE66" s="271"/>
      <x:c r="AF66" s="271"/>
      <x:c r="AG66" s="271"/>
    </x:row>
    <x:row r="67">
      <x:c r="A67" s="272"/>
      <x:c r="B67" s="272"/>
      <x:c r="C67" s="272"/>
      <x:c r="D67" s="272"/>
      <x:c r="E67" s="272"/>
      <x:c r="F67" s="272"/>
      <x:c r="G67" s="272"/>
      <x:c r="H67" s="272"/>
      <x:c r="I67" s="272"/>
      <x:c r="J67" s="272"/>
      <x:c r="K67" s="272"/>
      <x:c r="L67" s="272"/>
      <x:c r="M67" s="272"/>
      <x:c r="N67" s="272"/>
      <x:c r="O67" s="272"/>
      <x:c r="P67" s="272"/>
      <x:c r="Q67" s="272"/>
      <x:c r="R67" s="272"/>
      <x:c r="S67" s="272"/>
      <x:c r="T67" s="272"/>
      <x:c r="U67" s="272"/>
      <x:c r="V67" s="272"/>
      <x:c r="W67" s="272"/>
      <x:c r="X67" s="272"/>
      <x:c r="Y67" s="271"/>
      <x:c r="Z67" s="271"/>
      <x:c r="AA67" s="271"/>
      <x:c r="AB67" s="271"/>
      <x:c r="AC67" s="271"/>
      <x:c r="AD67" s="271"/>
      <x:c r="AE67" s="271"/>
      <x:c r="AF67" s="271"/>
      <x:c r="AG67" s="271"/>
    </x:row>
    <x:row r="68">
      <x:c r="A68" s="272"/>
      <x:c r="B68" s="272"/>
      <x:c r="C68" s="272"/>
      <x:c r="D68" s="272"/>
      <x:c r="E68" s="272"/>
      <x:c r="F68" s="272"/>
      <x:c r="G68" s="272"/>
      <x:c r="H68" s="272"/>
      <x:c r="I68" s="272"/>
      <x:c r="J68" s="272"/>
      <x:c r="K68" s="272"/>
      <x:c r="L68" s="272"/>
      <x:c r="M68" s="272"/>
      <x:c r="N68" s="272"/>
      <x:c r="O68" s="272"/>
      <x:c r="P68" s="272"/>
      <x:c r="Q68" s="272"/>
      <x:c r="R68" s="272"/>
      <x:c r="S68" s="272"/>
      <x:c r="T68" s="272"/>
      <x:c r="U68" s="272"/>
      <x:c r="V68" s="272"/>
      <x:c r="W68" s="272"/>
      <x:c r="X68" s="272"/>
      <x:c r="Y68" s="271"/>
      <x:c r="Z68" s="271"/>
      <x:c r="AA68" s="271"/>
      <x:c r="AB68" s="271"/>
      <x:c r="AC68" s="271"/>
      <x:c r="AD68" s="271"/>
      <x:c r="AE68" s="271"/>
      <x:c r="AF68" s="271"/>
      <x:c r="AG68" s="271"/>
    </x:row>
    <x:row r="69">
      <x:c r="A69" s="272"/>
      <x:c r="B69" s="272"/>
      <x:c r="C69" s="272"/>
      <x:c r="D69" s="272"/>
      <x:c r="E69" s="272"/>
      <x:c r="F69" s="272"/>
      <x:c r="G69" s="272"/>
      <x:c r="H69" s="272"/>
      <x:c r="I69" s="272"/>
      <x:c r="J69" s="272"/>
      <x:c r="K69" s="272"/>
      <x:c r="L69" s="272"/>
      <x:c r="M69" s="272"/>
      <x:c r="N69" s="272"/>
      <x:c r="O69" s="272"/>
      <x:c r="P69" s="272"/>
      <x:c r="Q69" s="272"/>
      <x:c r="R69" s="272"/>
      <x:c r="S69" s="272"/>
      <x:c r="T69" s="272"/>
      <x:c r="U69" s="272"/>
      <x:c r="V69" s="272"/>
      <x:c r="W69" s="272"/>
      <x:c r="X69" s="272"/>
      <x:c r="Y69" s="271"/>
      <x:c r="Z69" s="271"/>
      <x:c r="AA69" s="271"/>
      <x:c r="AB69" s="271"/>
      <x:c r="AC69" s="271"/>
      <x:c r="AD69" s="271"/>
      <x:c r="AE69" s="271"/>
      <x:c r="AF69" s="271"/>
      <x:c r="AG69" s="271"/>
    </x:row>
    <x:row r="70">
      <x:c r="A70" s="272"/>
      <x:c r="B70" s="272"/>
      <x:c r="C70" s="272"/>
      <x:c r="D70" s="272"/>
      <x:c r="E70" s="272"/>
      <x:c r="F70" s="272"/>
      <x:c r="G70" s="272"/>
      <x:c r="H70" s="272"/>
      <x:c r="I70" s="272"/>
      <x:c r="J70" s="272"/>
      <x:c r="K70" s="272"/>
      <x:c r="L70" s="272"/>
      <x:c r="M70" s="272"/>
      <x:c r="N70" s="272"/>
      <x:c r="O70" s="272"/>
      <x:c r="P70" s="272"/>
      <x:c r="Q70" s="272"/>
      <x:c r="R70" s="272"/>
      <x:c r="S70" s="272"/>
      <x:c r="T70" s="272"/>
      <x:c r="U70" s="272"/>
      <x:c r="V70" s="272"/>
      <x:c r="W70" s="272"/>
      <x:c r="X70" s="272"/>
      <x:c r="Y70" s="271"/>
      <x:c r="Z70" s="271"/>
      <x:c r="AA70" s="271"/>
      <x:c r="AB70" s="271"/>
      <x:c r="AC70" s="271"/>
      <x:c r="AD70" s="271"/>
      <x:c r="AE70" s="271"/>
      <x:c r="AF70" s="271"/>
      <x:c r="AG70" s="271"/>
    </x:row>
    <x:row r="71">
      <x:c r="A71" s="272"/>
      <x:c r="B71" s="272"/>
      <x:c r="C71" s="272"/>
      <x:c r="D71" s="272"/>
      <x:c r="E71" s="272"/>
      <x:c r="F71" s="272"/>
      <x:c r="G71" s="272"/>
      <x:c r="H71" s="272"/>
      <x:c r="I71" s="272"/>
      <x:c r="J71" s="272"/>
      <x:c r="K71" s="272"/>
      <x:c r="L71" s="272"/>
      <x:c r="M71" s="272"/>
      <x:c r="N71" s="272"/>
      <x:c r="O71" s="272"/>
      <x:c r="P71" s="272"/>
      <x:c r="Q71" s="272"/>
      <x:c r="R71" s="272"/>
      <x:c r="S71" s="272"/>
      <x:c r="T71" s="272"/>
      <x:c r="U71" s="272"/>
      <x:c r="V71" s="272"/>
      <x:c r="W71" s="272"/>
      <x:c r="X71" s="272"/>
      <x:c r="Y71" s="271"/>
      <x:c r="Z71" s="271"/>
      <x:c r="AA71" s="271"/>
      <x:c r="AB71" s="271"/>
      <x:c r="AC71" s="271"/>
      <x:c r="AD71" s="271"/>
      <x:c r="AE71" s="271"/>
      <x:c r="AF71" s="271"/>
      <x:c r="AG71" s="271"/>
    </x:row>
    <x:row r="72">
      <x:c r="A72" s="272"/>
      <x:c r="B72" s="272"/>
      <x:c r="C72" s="272"/>
      <x:c r="D72" s="272"/>
      <x:c r="E72" s="272"/>
      <x:c r="F72" s="272"/>
      <x:c r="G72" s="272"/>
      <x:c r="H72" s="272"/>
      <x:c r="I72" s="272"/>
      <x:c r="J72" s="272"/>
      <x:c r="K72" s="272"/>
      <x:c r="L72" s="272"/>
      <x:c r="M72" s="272"/>
      <x:c r="N72" s="272"/>
      <x:c r="O72" s="272"/>
      <x:c r="P72" s="272"/>
      <x:c r="Q72" s="272"/>
      <x:c r="R72" s="272"/>
      <x:c r="S72" s="272"/>
      <x:c r="T72" s="272"/>
      <x:c r="U72" s="272"/>
      <x:c r="V72" s="272"/>
      <x:c r="W72" s="272"/>
      <x:c r="X72" s="272"/>
      <x:c r="Y72" s="271"/>
      <x:c r="Z72" s="271"/>
      <x:c r="AA72" s="271"/>
      <x:c r="AB72" s="271"/>
      <x:c r="AC72" s="271"/>
      <x:c r="AD72" s="271"/>
      <x:c r="AE72" s="271"/>
      <x:c r="AF72" s="271"/>
      <x:c r="AG72" s="271"/>
    </x:row>
    <x:row r="73">
      <x:c r="A73" s="272"/>
      <x:c r="B73" s="272"/>
      <x:c r="C73" s="272"/>
      <x:c r="D73" s="272"/>
      <x:c r="E73" s="272"/>
      <x:c r="F73" s="272"/>
      <x:c r="G73" s="272"/>
      <x:c r="H73" s="272"/>
      <x:c r="I73" s="272"/>
      <x:c r="J73" s="272"/>
      <x:c r="K73" s="272"/>
      <x:c r="L73" s="272"/>
      <x:c r="M73" s="272"/>
      <x:c r="N73" s="272"/>
      <x:c r="O73" s="272"/>
      <x:c r="P73" s="272"/>
      <x:c r="Q73" s="272"/>
      <x:c r="R73" s="272"/>
      <x:c r="S73" s="272"/>
      <x:c r="T73" s="272"/>
      <x:c r="U73" s="272"/>
      <x:c r="V73" s="272"/>
      <x:c r="W73" s="272"/>
      <x:c r="X73" s="272"/>
      <x:c r="Y73" s="271"/>
      <x:c r="Z73" s="271"/>
      <x:c r="AA73" s="271"/>
      <x:c r="AB73" s="271"/>
      <x:c r="AC73" s="271"/>
      <x:c r="AD73" s="271"/>
      <x:c r="AE73" s="271"/>
      <x:c r="AF73" s="271"/>
      <x:c r="AG73" s="271"/>
    </x:row>
    <x:row r="74">
      <x:c r="A74" s="272"/>
      <x:c r="B74" s="272"/>
      <x:c r="C74" s="272"/>
      <x:c r="D74" s="272"/>
      <x:c r="E74" s="272"/>
      <x:c r="F74" s="272"/>
      <x:c r="G74" s="272"/>
      <x:c r="H74" s="272"/>
      <x:c r="I74" s="272"/>
      <x:c r="J74" s="272"/>
      <x:c r="K74" s="272"/>
      <x:c r="L74" s="272"/>
      <x:c r="M74" s="272"/>
      <x:c r="N74" s="272"/>
      <x:c r="O74" s="272"/>
      <x:c r="P74" s="272"/>
      <x:c r="Q74" s="272"/>
      <x:c r="R74" s="272"/>
      <x:c r="S74" s="272"/>
      <x:c r="T74" s="272"/>
      <x:c r="U74" s="272"/>
      <x:c r="V74" s="272"/>
      <x:c r="W74" s="272"/>
      <x:c r="X74" s="272"/>
      <x:c r="Y74" s="271"/>
      <x:c r="Z74" s="271"/>
      <x:c r="AA74" s="271"/>
      <x:c r="AB74" s="271"/>
      <x:c r="AC74" s="271"/>
      <x:c r="AD74" s="271"/>
      <x:c r="AE74" s="271"/>
      <x:c r="AF74" s="271"/>
      <x:c r="AG74" s="271"/>
    </x:row>
    <x:row r="75">
      <x:c r="A75" s="272"/>
      <x:c r="B75" s="272"/>
      <x:c r="C75" s="272"/>
      <x:c r="D75" s="272"/>
      <x:c r="E75" s="272"/>
      <x:c r="F75" s="272"/>
      <x:c r="G75" s="272"/>
      <x:c r="H75" s="272"/>
      <x:c r="I75" s="272"/>
      <x:c r="J75" s="272"/>
      <x:c r="K75" s="272"/>
      <x:c r="L75" s="272"/>
      <x:c r="M75" s="272"/>
      <x:c r="N75" s="272"/>
      <x:c r="O75" s="272"/>
      <x:c r="P75" s="272"/>
      <x:c r="Q75" s="272"/>
      <x:c r="R75" s="272"/>
      <x:c r="S75" s="272"/>
      <x:c r="T75" s="272"/>
      <x:c r="U75" s="272"/>
      <x:c r="V75" s="272"/>
      <x:c r="W75" s="272"/>
      <x:c r="X75" s="272"/>
      <x:c r="Y75" s="271"/>
      <x:c r="Z75" s="271"/>
      <x:c r="AA75" s="271"/>
      <x:c r="AB75" s="271"/>
      <x:c r="AC75" s="271"/>
      <x:c r="AD75" s="271"/>
      <x:c r="AE75" s="271"/>
      <x:c r="AF75" s="271"/>
      <x:c r="AG75" s="271"/>
    </x:row>
    <x:row r="76">
      <x:c r="A76" s="272"/>
      <x:c r="B76" s="272"/>
      <x:c r="C76" s="272"/>
      <x:c r="D76" s="272"/>
      <x:c r="E76" s="272"/>
      <x:c r="F76" s="272"/>
      <x:c r="G76" s="272"/>
      <x:c r="H76" s="272"/>
      <x:c r="I76" s="272"/>
      <x:c r="J76" s="272"/>
      <x:c r="K76" s="272"/>
      <x:c r="L76" s="272"/>
      <x:c r="M76" s="272"/>
      <x:c r="N76" s="272"/>
      <x:c r="O76" s="272"/>
      <x:c r="P76" s="272"/>
      <x:c r="Q76" s="272"/>
      <x:c r="R76" s="272"/>
      <x:c r="S76" s="272"/>
      <x:c r="T76" s="272"/>
      <x:c r="U76" s="272"/>
      <x:c r="V76" s="272"/>
      <x:c r="W76" s="272"/>
      <x:c r="X76" s="272"/>
      <x:c r="Y76" s="271"/>
      <x:c r="Z76" s="271"/>
      <x:c r="AA76" s="271"/>
      <x:c r="AB76" s="271"/>
      <x:c r="AC76" s="271"/>
      <x:c r="AD76" s="271"/>
      <x:c r="AE76" s="271"/>
      <x:c r="AF76" s="271"/>
      <x:c r="AG76" s="271"/>
    </x:row>
    <x:row r="77">
      <x:c r="A77" s="272"/>
      <x:c r="B77" s="272"/>
      <x:c r="C77" s="272"/>
      <x:c r="D77" s="272"/>
      <x:c r="E77" s="272"/>
      <x:c r="F77" s="272"/>
      <x:c r="G77" s="272"/>
      <x:c r="H77" s="272"/>
      <x:c r="I77" s="272"/>
      <x:c r="J77" s="272"/>
      <x:c r="K77" s="272"/>
      <x:c r="L77" s="272"/>
      <x:c r="M77" s="272"/>
      <x:c r="N77" s="272"/>
      <x:c r="O77" s="272"/>
      <x:c r="P77" s="272"/>
      <x:c r="Q77" s="272"/>
      <x:c r="R77" s="272"/>
      <x:c r="S77" s="272"/>
      <x:c r="T77" s="272"/>
      <x:c r="U77" s="272"/>
      <x:c r="V77" s="272"/>
      <x:c r="W77" s="272"/>
      <x:c r="X77" s="272"/>
      <x:c r="Y77" s="271"/>
      <x:c r="Z77" s="271"/>
      <x:c r="AA77" s="271"/>
      <x:c r="AB77" s="271"/>
      <x:c r="AC77" s="271"/>
      <x:c r="AD77" s="271"/>
      <x:c r="AE77" s="271"/>
      <x:c r="AF77" s="271"/>
      <x:c r="AG77" s="271"/>
    </x:row>
    <x:row r="78">
      <x:c r="A78" s="272"/>
      <x:c r="B78" s="272"/>
      <x:c r="C78" s="272"/>
      <x:c r="D78" s="272"/>
      <x:c r="E78" s="272"/>
      <x:c r="F78" s="272"/>
      <x:c r="G78" s="272"/>
      <x:c r="H78" s="272"/>
      <x:c r="I78" s="272"/>
      <x:c r="J78" s="272"/>
      <x:c r="K78" s="272"/>
      <x:c r="L78" s="272"/>
      <x:c r="M78" s="272"/>
      <x:c r="N78" s="272"/>
      <x:c r="O78" s="272"/>
      <x:c r="P78" s="272"/>
      <x:c r="Q78" s="272"/>
      <x:c r="R78" s="272"/>
      <x:c r="S78" s="272"/>
      <x:c r="T78" s="272"/>
      <x:c r="U78" s="272"/>
      <x:c r="V78" s="272"/>
      <x:c r="W78" s="272"/>
      <x:c r="X78" s="272"/>
      <x:c r="Y78" s="271"/>
      <x:c r="Z78" s="271"/>
      <x:c r="AA78" s="271"/>
      <x:c r="AB78" s="271"/>
      <x:c r="AC78" s="271"/>
      <x:c r="AD78" s="271"/>
      <x:c r="AE78" s="271"/>
      <x:c r="AF78" s="271"/>
      <x:c r="AG78" s="271"/>
    </x:row>
    <x:row r="79">
      <x:c r="A79" s="272"/>
      <x:c r="B79" s="272"/>
      <x:c r="C79" s="272"/>
      <x:c r="D79" s="272"/>
      <x:c r="E79" s="272"/>
      <x:c r="F79" s="272"/>
      <x:c r="G79" s="272"/>
      <x:c r="H79" s="272"/>
      <x:c r="I79" s="272"/>
      <x:c r="J79" s="272"/>
      <x:c r="K79" s="272"/>
      <x:c r="L79" s="272"/>
      <x:c r="M79" s="272"/>
      <x:c r="N79" s="272"/>
      <x:c r="O79" s="272"/>
      <x:c r="P79" s="272"/>
      <x:c r="Q79" s="272"/>
      <x:c r="R79" s="272"/>
      <x:c r="S79" s="272"/>
      <x:c r="T79" s="272"/>
      <x:c r="U79" s="272"/>
      <x:c r="V79" s="272"/>
      <x:c r="W79" s="272"/>
      <x:c r="X79" s="272"/>
      <x:c r="Y79" s="271"/>
      <x:c r="Z79" s="271"/>
      <x:c r="AA79" s="271"/>
      <x:c r="AB79" s="271"/>
      <x:c r="AC79" s="271"/>
      <x:c r="AD79" s="271"/>
      <x:c r="AE79" s="271"/>
      <x:c r="AF79" s="271"/>
      <x:c r="AG79" s="271"/>
    </x:row>
    <x:row r="80">
      <x:c r="A80" s="272"/>
      <x:c r="B80" s="272"/>
      <x:c r="C80" s="272"/>
      <x:c r="D80" s="272"/>
      <x:c r="E80" s="272"/>
      <x:c r="F80" s="272"/>
      <x:c r="G80" s="272"/>
      <x:c r="H80" s="272"/>
      <x:c r="I80" s="272"/>
      <x:c r="J80" s="272"/>
      <x:c r="K80" s="272"/>
      <x:c r="L80" s="272"/>
      <x:c r="M80" s="272"/>
      <x:c r="N80" s="272"/>
      <x:c r="O80" s="272"/>
      <x:c r="P80" s="272"/>
      <x:c r="Q80" s="272"/>
      <x:c r="R80" s="272"/>
      <x:c r="S80" s="272"/>
      <x:c r="T80" s="272"/>
      <x:c r="U80" s="272"/>
      <x:c r="V80" s="272"/>
      <x:c r="W80" s="272"/>
      <x:c r="X80" s="272"/>
      <x:c r="Y80" s="271"/>
      <x:c r="Z80" s="271"/>
      <x:c r="AA80" s="271"/>
      <x:c r="AB80" s="271"/>
      <x:c r="AC80" s="271"/>
      <x:c r="AD80" s="271"/>
      <x:c r="AE80" s="271"/>
      <x:c r="AF80" s="271"/>
      <x:c r="AG80" s="271"/>
    </x:row>
    <x:row r="81">
      <x:c r="A81" s="272"/>
      <x:c r="B81" s="272"/>
      <x:c r="C81" s="272"/>
      <x:c r="D81" s="272"/>
      <x:c r="E81" s="272"/>
      <x:c r="F81" s="272"/>
      <x:c r="G81" s="272"/>
      <x:c r="H81" s="272"/>
      <x:c r="I81" s="272"/>
      <x:c r="J81" s="272"/>
      <x:c r="K81" s="272"/>
      <x:c r="L81" s="272"/>
      <x:c r="M81" s="272"/>
      <x:c r="N81" s="272"/>
      <x:c r="O81" s="272"/>
      <x:c r="P81" s="272"/>
      <x:c r="Q81" s="272"/>
      <x:c r="R81" s="272"/>
      <x:c r="S81" s="272"/>
      <x:c r="T81" s="272"/>
      <x:c r="U81" s="272"/>
      <x:c r="V81" s="272"/>
      <x:c r="W81" s="272"/>
      <x:c r="X81" s="272"/>
      <x:c r="Y81" s="271"/>
      <x:c r="Z81" s="271"/>
      <x:c r="AA81" s="271"/>
      <x:c r="AB81" s="271"/>
      <x:c r="AC81" s="271"/>
      <x:c r="AD81" s="271"/>
      <x:c r="AE81" s="271"/>
      <x:c r="AF81" s="271"/>
      <x:c r="AG81" s="271"/>
    </x:row>
    <x:row r="82">
      <x:c r="A82" s="272"/>
      <x:c r="B82" s="272"/>
      <x:c r="C82" s="272"/>
      <x:c r="D82" s="272"/>
      <x:c r="E82" s="272"/>
      <x:c r="F82" s="272"/>
      <x:c r="G82" s="272"/>
      <x:c r="H82" s="272"/>
      <x:c r="I82" s="272"/>
      <x:c r="J82" s="272"/>
      <x:c r="K82" s="272"/>
      <x:c r="L82" s="272"/>
      <x:c r="M82" s="272"/>
      <x:c r="N82" s="272"/>
      <x:c r="O82" s="272"/>
      <x:c r="P82" s="272"/>
      <x:c r="Q82" s="272"/>
      <x:c r="R82" s="272"/>
      <x:c r="S82" s="272"/>
      <x:c r="T82" s="272"/>
      <x:c r="U82" s="272"/>
      <x:c r="V82" s="272"/>
      <x:c r="W82" s="272"/>
      <x:c r="X82" s="272"/>
      <x:c r="Y82" s="271"/>
      <x:c r="Z82" s="271"/>
      <x:c r="AA82" s="271"/>
      <x:c r="AB82" s="271"/>
      <x:c r="AC82" s="271"/>
      <x:c r="AD82" s="271"/>
      <x:c r="AE82" s="271"/>
      <x:c r="AF82" s="271"/>
      <x:c r="AG82" s="271"/>
    </x:row>
    <x:row r="83">
      <x:c r="A83" s="272"/>
      <x:c r="B83" s="272"/>
      <x:c r="C83" s="272"/>
      <x:c r="D83" s="272"/>
      <x:c r="E83" s="272"/>
      <x:c r="F83" s="272"/>
      <x:c r="G83" s="272"/>
      <x:c r="H83" s="272"/>
      <x:c r="I83" s="272"/>
      <x:c r="J83" s="272"/>
      <x:c r="K83" s="272"/>
      <x:c r="L83" s="272"/>
      <x:c r="M83" s="272"/>
      <x:c r="N83" s="272"/>
      <x:c r="O83" s="272"/>
      <x:c r="P83" s="272"/>
      <x:c r="Q83" s="272"/>
      <x:c r="R83" s="272"/>
      <x:c r="S83" s="272"/>
      <x:c r="T83" s="272"/>
      <x:c r="U83" s="272"/>
      <x:c r="V83" s="272"/>
      <x:c r="W83" s="272"/>
      <x:c r="X83" s="272"/>
      <x:c r="Y83" s="271"/>
      <x:c r="Z83" s="271"/>
      <x:c r="AA83" s="271"/>
      <x:c r="AB83" s="271"/>
      <x:c r="AC83" s="271"/>
      <x:c r="AD83" s="271"/>
      <x:c r="AE83" s="271"/>
      <x:c r="AF83" s="271"/>
      <x:c r="AG83" s="271"/>
    </x:row>
    <x:row r="84">
      <x:c r="A84" s="272"/>
      <x:c r="B84" s="272"/>
      <x:c r="C84" s="272"/>
      <x:c r="D84" s="272"/>
      <x:c r="E84" s="272"/>
      <x:c r="F84" s="272"/>
      <x:c r="G84" s="272"/>
      <x:c r="H84" s="272"/>
      <x:c r="I84" s="272"/>
      <x:c r="J84" s="272"/>
      <x:c r="K84" s="272"/>
      <x:c r="L84" s="272"/>
      <x:c r="M84" s="272"/>
      <x:c r="N84" s="272"/>
      <x:c r="O84" s="272"/>
      <x:c r="P84" s="272"/>
      <x:c r="Q84" s="272"/>
      <x:c r="R84" s="272"/>
      <x:c r="S84" s="272"/>
      <x:c r="T84" s="272"/>
      <x:c r="U84" s="272"/>
      <x:c r="V84" s="272"/>
      <x:c r="W84" s="272"/>
      <x:c r="X84" s="272"/>
      <x:c r="Y84" s="271"/>
      <x:c r="Z84" s="271"/>
      <x:c r="AA84" s="271"/>
      <x:c r="AB84" s="271"/>
      <x:c r="AC84" s="271"/>
      <x:c r="AD84" s="271"/>
      <x:c r="AE84" s="271"/>
      <x:c r="AF84" s="271"/>
      <x:c r="AG84" s="271"/>
    </x:row>
    <x:row r="85">
      <x:c r="A85" s="272"/>
      <x:c r="B85" s="272"/>
      <x:c r="C85" s="272"/>
      <x:c r="D85" s="272"/>
      <x:c r="E85" s="272"/>
      <x:c r="F85" s="272"/>
      <x:c r="G85" s="272"/>
      <x:c r="H85" s="272"/>
      <x:c r="I85" s="272"/>
      <x:c r="J85" s="272"/>
      <x:c r="K85" s="272"/>
      <x:c r="L85" s="272"/>
      <x:c r="M85" s="272"/>
      <x:c r="N85" s="272"/>
      <x:c r="O85" s="272"/>
      <x:c r="P85" s="272"/>
      <x:c r="Q85" s="272"/>
      <x:c r="R85" s="272"/>
      <x:c r="S85" s="272"/>
      <x:c r="T85" s="272"/>
      <x:c r="U85" s="272"/>
      <x:c r="V85" s="272"/>
      <x:c r="W85" s="272"/>
      <x:c r="X85" s="272"/>
      <x:c r="Y85" s="271"/>
      <x:c r="Z85" s="271"/>
      <x:c r="AA85" s="271"/>
      <x:c r="AB85" s="271"/>
      <x:c r="AC85" s="271"/>
      <x:c r="AD85" s="271"/>
      <x:c r="AE85" s="271"/>
      <x:c r="AF85" s="271"/>
      <x:c r="AG85" s="271"/>
    </x:row>
    <x:row r="86">
      <x:c r="A86" s="272"/>
      <x:c r="B86" s="272"/>
      <x:c r="C86" s="272"/>
      <x:c r="D86" s="272"/>
      <x:c r="E86" s="272"/>
      <x:c r="F86" s="272"/>
      <x:c r="G86" s="272"/>
      <x:c r="H86" s="272"/>
      <x:c r="I86" s="272"/>
      <x:c r="J86" s="272"/>
      <x:c r="K86" s="272"/>
      <x:c r="L86" s="272"/>
      <x:c r="M86" s="272"/>
      <x:c r="N86" s="272"/>
      <x:c r="O86" s="272"/>
      <x:c r="P86" s="272"/>
      <x:c r="Q86" s="272"/>
      <x:c r="R86" s="272"/>
      <x:c r="S86" s="272"/>
      <x:c r="T86" s="272"/>
      <x:c r="U86" s="272"/>
      <x:c r="V86" s="272"/>
      <x:c r="W86" s="272"/>
      <x:c r="X86" s="272"/>
      <x:c r="Y86" s="271"/>
      <x:c r="Z86" s="271"/>
      <x:c r="AA86" s="271"/>
      <x:c r="AB86" s="271"/>
      <x:c r="AC86" s="271"/>
      <x:c r="AD86" s="271"/>
      <x:c r="AE86" s="271"/>
      <x:c r="AF86" s="271"/>
      <x:c r="AG86" s="271"/>
    </x:row>
    <x:row r="87">
      <x:c r="A87" s="272"/>
      <x:c r="B87" s="272"/>
      <x:c r="C87" s="272"/>
      <x:c r="D87" s="272"/>
      <x:c r="E87" s="272"/>
      <x:c r="F87" s="272"/>
      <x:c r="G87" s="272"/>
      <x:c r="H87" s="272"/>
      <x:c r="I87" s="272"/>
      <x:c r="J87" s="272"/>
      <x:c r="K87" s="272"/>
      <x:c r="L87" s="272"/>
      <x:c r="M87" s="272"/>
      <x:c r="N87" s="272"/>
      <x:c r="O87" s="272"/>
      <x:c r="P87" s="272"/>
      <x:c r="Q87" s="272"/>
      <x:c r="R87" s="272"/>
      <x:c r="S87" s="272"/>
      <x:c r="T87" s="272"/>
      <x:c r="U87" s="272"/>
      <x:c r="V87" s="272"/>
      <x:c r="W87" s="272"/>
      <x:c r="X87" s="272"/>
      <x:c r="Y87" s="271"/>
      <x:c r="Z87" s="271"/>
      <x:c r="AA87" s="271"/>
      <x:c r="AB87" s="271"/>
      <x:c r="AC87" s="271"/>
      <x:c r="AD87" s="271"/>
      <x:c r="AE87" s="271"/>
      <x:c r="AF87" s="271"/>
      <x:c r="AG87" s="271"/>
    </x:row>
    <x:row r="88">
      <x:c r="A88" s="272"/>
      <x:c r="B88" s="272"/>
      <x:c r="C88" s="272"/>
      <x:c r="D88" s="272"/>
      <x:c r="E88" s="272"/>
      <x:c r="F88" s="272"/>
      <x:c r="G88" s="272"/>
      <x:c r="H88" s="272"/>
      <x:c r="I88" s="272"/>
      <x:c r="J88" s="272"/>
      <x:c r="K88" s="272"/>
      <x:c r="L88" s="272"/>
      <x:c r="M88" s="272"/>
      <x:c r="N88" s="272"/>
      <x:c r="O88" s="272"/>
      <x:c r="P88" s="272"/>
      <x:c r="Q88" s="272"/>
      <x:c r="R88" s="272"/>
      <x:c r="S88" s="272"/>
      <x:c r="T88" s="272"/>
      <x:c r="U88" s="272"/>
      <x:c r="V88" s="272"/>
      <x:c r="W88" s="272"/>
      <x:c r="X88" s="272"/>
      <x:c r="Y88" s="271"/>
      <x:c r="Z88" s="271"/>
      <x:c r="AA88" s="271"/>
      <x:c r="AB88" s="271"/>
      <x:c r="AC88" s="271"/>
      <x:c r="AD88" s="271"/>
      <x:c r="AE88" s="271"/>
      <x:c r="AF88" s="271"/>
      <x:c r="AG88" s="271"/>
    </x:row>
    <x:row r="89">
      <x:c r="A89" s="272"/>
      <x:c r="B89" s="272"/>
      <x:c r="C89" s="272"/>
      <x:c r="D89" s="272"/>
      <x:c r="E89" s="272"/>
      <x:c r="F89" s="272"/>
      <x:c r="G89" s="272"/>
      <x:c r="H89" s="272"/>
      <x:c r="I89" s="272"/>
      <x:c r="J89" s="272"/>
      <x:c r="K89" s="272"/>
      <x:c r="L89" s="272"/>
      <x:c r="M89" s="272"/>
      <x:c r="N89" s="272"/>
      <x:c r="O89" s="272"/>
      <x:c r="P89" s="272"/>
      <x:c r="Q89" s="272"/>
      <x:c r="R89" s="272"/>
      <x:c r="S89" s="272"/>
      <x:c r="T89" s="272"/>
      <x:c r="U89" s="272"/>
      <x:c r="V89" s="272"/>
      <x:c r="W89" s="272"/>
      <x:c r="X89" s="272"/>
      <x:c r="Y89" s="271"/>
      <x:c r="Z89" s="271"/>
      <x:c r="AA89" s="271"/>
      <x:c r="AB89" s="271"/>
      <x:c r="AC89" s="271"/>
      <x:c r="AD89" s="271"/>
      <x:c r="AE89" s="271"/>
      <x:c r="AF89" s="271"/>
      <x:c r="AG89" s="271"/>
    </x:row>
    <x:row r="90">
      <x:c r="A90" s="272"/>
      <x:c r="B90" s="272"/>
      <x:c r="C90" s="272"/>
      <x:c r="D90" s="272"/>
      <x:c r="E90" s="272"/>
      <x:c r="F90" s="272"/>
      <x:c r="G90" s="272"/>
      <x:c r="H90" s="272"/>
      <x:c r="I90" s="272"/>
      <x:c r="J90" s="272"/>
      <x:c r="K90" s="272"/>
      <x:c r="L90" s="272"/>
      <x:c r="M90" s="272"/>
      <x:c r="N90" s="272"/>
      <x:c r="O90" s="272"/>
      <x:c r="P90" s="272"/>
      <x:c r="Q90" s="272"/>
      <x:c r="R90" s="272"/>
      <x:c r="S90" s="272"/>
      <x:c r="T90" s="272"/>
      <x:c r="U90" s="272"/>
      <x:c r="V90" s="272"/>
      <x:c r="W90" s="272"/>
      <x:c r="X90" s="272"/>
      <x:c r="Y90" s="271"/>
      <x:c r="Z90" s="271"/>
      <x:c r="AA90" s="271"/>
      <x:c r="AB90" s="271"/>
      <x:c r="AC90" s="271"/>
      <x:c r="AD90" s="271"/>
      <x:c r="AE90" s="271"/>
      <x:c r="AF90" s="271"/>
      <x:c r="AG90" s="271"/>
    </x:row>
    <x:row r="91">
      <x:c r="A91" s="272"/>
      <x:c r="B91" s="272"/>
      <x:c r="C91" s="272"/>
      <x:c r="D91" s="272"/>
      <x:c r="E91" s="272"/>
      <x:c r="F91" s="272"/>
      <x:c r="G91" s="272"/>
      <x:c r="H91" s="272"/>
      <x:c r="I91" s="272"/>
      <x:c r="J91" s="272"/>
      <x:c r="K91" s="272"/>
      <x:c r="L91" s="272"/>
      <x:c r="M91" s="272"/>
      <x:c r="N91" s="272"/>
      <x:c r="O91" s="272"/>
      <x:c r="P91" s="272"/>
      <x:c r="Q91" s="272"/>
      <x:c r="R91" s="272"/>
      <x:c r="S91" s="272"/>
      <x:c r="T91" s="272"/>
      <x:c r="U91" s="272"/>
      <x:c r="V91" s="272"/>
      <x:c r="W91" s="272"/>
      <x:c r="X91" s="272"/>
      <x:c r="Y91" s="271"/>
      <x:c r="Z91" s="271"/>
      <x:c r="AA91" s="271"/>
      <x:c r="AB91" s="271"/>
      <x:c r="AC91" s="271"/>
      <x:c r="AD91" s="271"/>
      <x:c r="AE91" s="271"/>
      <x:c r="AF91" s="271"/>
      <x:c r="AG91" s="271"/>
    </x:row>
    <x:row r="92">
      <x:c r="A92" s="272"/>
      <x:c r="B92" s="272"/>
      <x:c r="C92" s="272"/>
      <x:c r="D92" s="272"/>
      <x:c r="E92" s="272"/>
      <x:c r="F92" s="272"/>
      <x:c r="G92" s="272"/>
      <x:c r="H92" s="272"/>
      <x:c r="I92" s="272"/>
      <x:c r="J92" s="272"/>
      <x:c r="K92" s="272"/>
      <x:c r="L92" s="272"/>
      <x:c r="M92" s="272"/>
      <x:c r="N92" s="272"/>
      <x:c r="O92" s="272"/>
      <x:c r="P92" s="272"/>
      <x:c r="Q92" s="272"/>
      <x:c r="R92" s="272"/>
      <x:c r="S92" s="272"/>
      <x:c r="T92" s="272"/>
      <x:c r="U92" s="272"/>
      <x:c r="V92" s="272"/>
      <x:c r="W92" s="272"/>
      <x:c r="X92" s="272"/>
      <x:c r="Y92" s="271"/>
      <x:c r="Z92" s="271"/>
      <x:c r="AA92" s="271"/>
      <x:c r="AB92" s="271"/>
      <x:c r="AC92" s="271"/>
      <x:c r="AD92" s="271"/>
      <x:c r="AE92" s="271"/>
      <x:c r="AF92" s="271"/>
      <x:c r="AG92" s="271"/>
    </x:row>
    <x:row r="93">
      <x:c r="A93" s="272"/>
      <x:c r="B93" s="272"/>
      <x:c r="C93" s="272"/>
      <x:c r="D93" s="272"/>
      <x:c r="E93" s="272"/>
      <x:c r="F93" s="272"/>
      <x:c r="G93" s="272"/>
      <x:c r="H93" s="272"/>
      <x:c r="I93" s="272"/>
      <x:c r="J93" s="272"/>
      <x:c r="K93" s="272"/>
      <x:c r="L93" s="272"/>
      <x:c r="M93" s="272"/>
      <x:c r="N93" s="272"/>
      <x:c r="O93" s="272"/>
      <x:c r="P93" s="272"/>
      <x:c r="Q93" s="272"/>
      <x:c r="R93" s="272"/>
      <x:c r="S93" s="272"/>
      <x:c r="T93" s="272"/>
      <x:c r="U93" s="272"/>
      <x:c r="V93" s="272"/>
      <x:c r="W93" s="272"/>
      <x:c r="X93" s="272"/>
      <x:c r="Y93" s="271"/>
      <x:c r="Z93" s="271"/>
      <x:c r="AA93" s="271"/>
      <x:c r="AB93" s="271"/>
      <x:c r="AC93" s="271"/>
      <x:c r="AD93" s="271"/>
      <x:c r="AE93" s="271"/>
      <x:c r="AF93" s="271"/>
      <x:c r="AG93" s="271"/>
    </x:row>
    <x:row r="94">
      <x:c r="A94" s="272"/>
      <x:c r="B94" s="272"/>
      <x:c r="C94" s="272"/>
      <x:c r="D94" s="272"/>
      <x:c r="E94" s="272"/>
      <x:c r="F94" s="272"/>
      <x:c r="G94" s="272"/>
      <x:c r="H94" s="272"/>
      <x:c r="I94" s="272"/>
      <x:c r="J94" s="272"/>
      <x:c r="K94" s="272"/>
      <x:c r="L94" s="272"/>
      <x:c r="M94" s="272"/>
      <x:c r="N94" s="272"/>
      <x:c r="O94" s="272"/>
      <x:c r="P94" s="272"/>
      <x:c r="Q94" s="272"/>
      <x:c r="R94" s="272"/>
      <x:c r="S94" s="272"/>
      <x:c r="T94" s="272"/>
      <x:c r="U94" s="272"/>
      <x:c r="V94" s="272"/>
      <x:c r="W94" s="272"/>
      <x:c r="X94" s="272"/>
      <x:c r="Y94" s="271"/>
      <x:c r="Z94" s="271"/>
      <x:c r="AA94" s="271"/>
      <x:c r="AB94" s="271"/>
      <x:c r="AC94" s="271"/>
      <x:c r="AD94" s="271"/>
      <x:c r="AE94" s="271"/>
      <x:c r="AF94" s="271"/>
      <x:c r="AG94" s="271"/>
    </x:row>
    <x:row r="95">
      <x:c r="A95" s="272"/>
      <x:c r="B95" s="272"/>
      <x:c r="C95" s="272"/>
      <x:c r="D95" s="272"/>
      <x:c r="E95" s="272"/>
      <x:c r="F95" s="272"/>
      <x:c r="G95" s="272"/>
      <x:c r="H95" s="272"/>
      <x:c r="I95" s="272"/>
      <x:c r="J95" s="272"/>
      <x:c r="K95" s="272"/>
      <x:c r="L95" s="272"/>
      <x:c r="M95" s="272"/>
      <x:c r="N95" s="272"/>
      <x:c r="O95" s="272"/>
      <x:c r="P95" s="272"/>
      <x:c r="Q95" s="272"/>
      <x:c r="R95" s="272"/>
      <x:c r="S95" s="272"/>
      <x:c r="T95" s="272"/>
      <x:c r="U95" s="272"/>
      <x:c r="V95" s="272"/>
      <x:c r="W95" s="272"/>
      <x:c r="X95" s="272"/>
      <x:c r="Y95" s="271"/>
      <x:c r="Z95" s="271"/>
      <x:c r="AA95" s="271"/>
      <x:c r="AB95" s="271"/>
      <x:c r="AC95" s="271"/>
      <x:c r="AD95" s="271"/>
      <x:c r="AE95" s="271"/>
      <x:c r="AF95" s="271"/>
      <x:c r="AG95" s="271"/>
    </x:row>
    <x:row r="96">
      <x:c r="A96" s="272"/>
      <x:c r="B96" s="272"/>
      <x:c r="C96" s="272"/>
      <x:c r="D96" s="272"/>
      <x:c r="E96" s="272"/>
      <x:c r="F96" s="272"/>
      <x:c r="G96" s="272"/>
      <x:c r="H96" s="272"/>
      <x:c r="I96" s="272"/>
      <x:c r="J96" s="272"/>
      <x:c r="K96" s="272"/>
      <x:c r="L96" s="272"/>
      <x:c r="M96" s="272"/>
      <x:c r="N96" s="272"/>
      <x:c r="O96" s="272"/>
      <x:c r="P96" s="272"/>
      <x:c r="Q96" s="272"/>
      <x:c r="R96" s="272"/>
      <x:c r="S96" s="272"/>
      <x:c r="T96" s="272"/>
      <x:c r="U96" s="272"/>
      <x:c r="V96" s="272"/>
      <x:c r="W96" s="272"/>
      <x:c r="X96" s="272"/>
      <x:c r="Y96" s="271"/>
      <x:c r="Z96" s="271"/>
      <x:c r="AA96" s="271"/>
      <x:c r="AB96" s="271"/>
      <x:c r="AC96" s="271"/>
      <x:c r="AD96" s="271"/>
      <x:c r="AE96" s="271"/>
      <x:c r="AF96" s="271"/>
      <x:c r="AG96" s="271"/>
    </x:row>
    <x:row r="97">
      <x:c r="A97" s="272"/>
      <x:c r="B97" s="272"/>
      <x:c r="C97" s="272"/>
      <x:c r="D97" s="272"/>
      <x:c r="E97" s="272"/>
      <x:c r="F97" s="272"/>
      <x:c r="G97" s="272"/>
      <x:c r="H97" s="272"/>
      <x:c r="I97" s="272"/>
      <x:c r="J97" s="272"/>
      <x:c r="K97" s="272"/>
      <x:c r="L97" s="272"/>
      <x:c r="M97" s="272"/>
      <x:c r="N97" s="272"/>
      <x:c r="O97" s="272"/>
      <x:c r="P97" s="272"/>
      <x:c r="Q97" s="272"/>
      <x:c r="R97" s="272"/>
      <x:c r="S97" s="272"/>
      <x:c r="T97" s="272"/>
      <x:c r="U97" s="272"/>
      <x:c r="V97" s="272"/>
      <x:c r="W97" s="272"/>
      <x:c r="X97" s="272"/>
      <x:c r="Y97" s="271"/>
      <x:c r="Z97" s="271"/>
      <x:c r="AA97" s="271"/>
      <x:c r="AB97" s="271"/>
      <x:c r="AC97" s="271"/>
      <x:c r="AD97" s="271"/>
      <x:c r="AE97" s="271"/>
      <x:c r="AF97" s="271"/>
      <x:c r="AG97" s="271"/>
    </x:row>
    <x:row r="98">
      <x:c r="A98" s="272"/>
      <x:c r="B98" s="272"/>
      <x:c r="C98" s="272"/>
      <x:c r="D98" s="272"/>
      <x:c r="E98" s="272"/>
      <x:c r="F98" s="272"/>
      <x:c r="G98" s="272"/>
      <x:c r="H98" s="272"/>
      <x:c r="I98" s="272"/>
      <x:c r="J98" s="272"/>
      <x:c r="K98" s="272"/>
      <x:c r="L98" s="272"/>
      <x:c r="M98" s="272"/>
      <x:c r="N98" s="272"/>
      <x:c r="O98" s="272"/>
      <x:c r="P98" s="272"/>
      <x:c r="Q98" s="272"/>
      <x:c r="R98" s="272"/>
      <x:c r="S98" s="272"/>
      <x:c r="T98" s="272"/>
      <x:c r="U98" s="272"/>
      <x:c r="V98" s="272"/>
      <x:c r="W98" s="272"/>
      <x:c r="X98" s="272"/>
      <x:c r="Y98" s="271"/>
      <x:c r="Z98" s="271"/>
      <x:c r="AA98" s="271"/>
      <x:c r="AB98" s="271"/>
      <x:c r="AC98" s="271"/>
      <x:c r="AD98" s="271"/>
      <x:c r="AE98" s="271"/>
      <x:c r="AF98" s="271"/>
      <x:c r="AG98" s="271"/>
    </x:row>
    <x:row r="99">
      <x:c r="A99" s="272"/>
      <x:c r="B99" s="272"/>
      <x:c r="C99" s="272"/>
      <x:c r="D99" s="272"/>
      <x:c r="E99" s="272"/>
      <x:c r="F99" s="272"/>
      <x:c r="G99" s="272"/>
      <x:c r="H99" s="272"/>
      <x:c r="I99" s="272"/>
      <x:c r="J99" s="272"/>
      <x:c r="K99" s="272"/>
      <x:c r="L99" s="272"/>
      <x:c r="M99" s="272"/>
      <x:c r="N99" s="272"/>
      <x:c r="O99" s="272"/>
      <x:c r="P99" s="272"/>
      <x:c r="Q99" s="272"/>
      <x:c r="R99" s="272"/>
      <x:c r="S99" s="272"/>
      <x:c r="T99" s="272"/>
      <x:c r="U99" s="272"/>
      <x:c r="V99" s="272"/>
      <x:c r="W99" s="272"/>
      <x:c r="X99" s="272"/>
      <x:c r="Y99" s="271"/>
      <x:c r="Z99" s="271"/>
      <x:c r="AA99" s="271"/>
      <x:c r="AB99" s="271"/>
      <x:c r="AC99" s="271"/>
      <x:c r="AD99" s="271"/>
      <x:c r="AE99" s="271"/>
      <x:c r="AF99" s="271"/>
      <x:c r="AG99" s="271"/>
    </x:row>
    <x:row r="100">
      <x:c r="A100" s="272"/>
      <x:c r="B100" s="272"/>
      <x:c r="C100" s="272"/>
      <x:c r="D100" s="272"/>
      <x:c r="E100" s="272"/>
      <x:c r="F100" s="272"/>
      <x:c r="G100" s="272"/>
      <x:c r="H100" s="272"/>
      <x:c r="I100" s="272"/>
      <x:c r="J100" s="272"/>
      <x:c r="K100" s="272"/>
      <x:c r="L100" s="272"/>
      <x:c r="M100" s="272"/>
      <x:c r="N100" s="272"/>
      <x:c r="O100" s="272"/>
      <x:c r="P100" s="272"/>
      <x:c r="Q100" s="272"/>
      <x:c r="R100" s="272"/>
      <x:c r="S100" s="272"/>
      <x:c r="T100" s="272"/>
      <x:c r="U100" s="272"/>
      <x:c r="V100" s="272"/>
      <x:c r="W100" s="272"/>
      <x:c r="X100" s="272"/>
      <x:c r="Y100" s="271"/>
      <x:c r="Z100" s="271"/>
      <x:c r="AA100" s="271"/>
      <x:c r="AB100" s="271"/>
      <x:c r="AC100" s="271"/>
      <x:c r="AD100" s="271"/>
      <x:c r="AE100" s="271"/>
      <x:c r="AF100" s="271"/>
      <x:c r="AG100" s="271"/>
    </x:row>
    <x:row r="101">
      <x:c r="A101" s="272"/>
      <x:c r="B101" s="272"/>
      <x:c r="C101" s="272"/>
      <x:c r="D101" s="272"/>
      <x:c r="E101" s="272"/>
      <x:c r="F101" s="272"/>
      <x:c r="G101" s="272"/>
      <x:c r="H101" s="272"/>
      <x:c r="I101" s="272"/>
      <x:c r="J101" s="272"/>
      <x:c r="K101" s="272"/>
      <x:c r="L101" s="272"/>
      <x:c r="M101" s="272"/>
      <x:c r="N101" s="272"/>
      <x:c r="O101" s="272"/>
      <x:c r="P101" s="272"/>
      <x:c r="Q101" s="272"/>
      <x:c r="R101" s="272"/>
      <x:c r="S101" s="272"/>
      <x:c r="T101" s="272"/>
      <x:c r="U101" s="272"/>
      <x:c r="V101" s="272"/>
      <x:c r="W101" s="272"/>
      <x:c r="X101" s="272"/>
      <x:c r="Y101" s="271"/>
      <x:c r="Z101" s="271"/>
      <x:c r="AA101" s="271"/>
      <x:c r="AB101" s="271"/>
      <x:c r="AC101" s="271"/>
      <x:c r="AD101" s="271"/>
      <x:c r="AE101" s="271"/>
      <x:c r="AF101" s="271"/>
      <x:c r="AG101" s="271"/>
    </x:row>
    <x:row r="102">
      <x:c r="A102" s="272"/>
      <x:c r="B102" s="272"/>
      <x:c r="C102" s="272"/>
      <x:c r="D102" s="272"/>
      <x:c r="E102" s="272"/>
      <x:c r="F102" s="272"/>
      <x:c r="G102" s="272"/>
      <x:c r="H102" s="272"/>
      <x:c r="I102" s="272"/>
      <x:c r="J102" s="272"/>
      <x:c r="K102" s="272"/>
      <x:c r="L102" s="272"/>
      <x:c r="M102" s="272"/>
      <x:c r="N102" s="272"/>
      <x:c r="O102" s="272"/>
      <x:c r="P102" s="272"/>
      <x:c r="Q102" s="272"/>
      <x:c r="R102" s="272"/>
      <x:c r="S102" s="272"/>
      <x:c r="T102" s="272"/>
      <x:c r="U102" s="272"/>
      <x:c r="V102" s="272"/>
      <x:c r="W102" s="272"/>
      <x:c r="X102" s="272"/>
      <x:c r="Y102" s="271"/>
      <x:c r="Z102" s="271"/>
      <x:c r="AA102" s="271"/>
      <x:c r="AB102" s="271"/>
      <x:c r="AC102" s="271"/>
      <x:c r="AD102" s="271"/>
      <x:c r="AE102" s="271"/>
      <x:c r="AF102" s="271"/>
      <x:c r="AG102" s="271"/>
    </x:row>
    <x:row r="103">
      <x:c r="A103" s="272"/>
      <x:c r="B103" s="272"/>
      <x:c r="C103" s="272"/>
      <x:c r="D103" s="272"/>
      <x:c r="E103" s="272"/>
      <x:c r="F103" s="272"/>
      <x:c r="G103" s="272"/>
      <x:c r="H103" s="272"/>
      <x:c r="I103" s="272"/>
      <x:c r="J103" s="272"/>
      <x:c r="K103" s="272"/>
      <x:c r="L103" s="272"/>
      <x:c r="M103" s="272"/>
      <x:c r="N103" s="272"/>
      <x:c r="O103" s="272"/>
      <x:c r="P103" s="272"/>
      <x:c r="Q103" s="272"/>
      <x:c r="R103" s="272"/>
      <x:c r="S103" s="272"/>
      <x:c r="T103" s="272"/>
      <x:c r="U103" s="272"/>
      <x:c r="V103" s="272"/>
      <x:c r="W103" s="272"/>
      <x:c r="X103" s="272"/>
      <x:c r="Y103" s="271"/>
      <x:c r="Z103" s="271"/>
      <x:c r="AA103" s="271"/>
      <x:c r="AB103" s="271"/>
      <x:c r="AC103" s="271"/>
      <x:c r="AD103" s="271"/>
      <x:c r="AE103" s="271"/>
      <x:c r="AF103" s="271"/>
      <x:c r="AG103" s="271"/>
    </x:row>
    <x:row r="104">
      <x:c r="A104" s="272"/>
      <x:c r="B104" s="272"/>
      <x:c r="C104" s="272"/>
      <x:c r="D104" s="272"/>
      <x:c r="E104" s="272"/>
      <x:c r="F104" s="272"/>
      <x:c r="G104" s="272"/>
      <x:c r="H104" s="272"/>
      <x:c r="I104" s="272"/>
      <x:c r="J104" s="272"/>
      <x:c r="K104" s="272"/>
      <x:c r="L104" s="272"/>
      <x:c r="M104" s="272"/>
      <x:c r="N104" s="272"/>
      <x:c r="O104" s="272"/>
      <x:c r="P104" s="272"/>
      <x:c r="Q104" s="272"/>
      <x:c r="R104" s="272"/>
      <x:c r="S104" s="272"/>
      <x:c r="T104" s="272"/>
      <x:c r="U104" s="272"/>
      <x:c r="V104" s="272"/>
      <x:c r="W104" s="272"/>
      <x:c r="X104" s="272"/>
      <x:c r="Y104" s="271"/>
      <x:c r="Z104" s="271"/>
      <x:c r="AA104" s="271"/>
      <x:c r="AB104" s="271"/>
      <x:c r="AC104" s="271"/>
      <x:c r="AD104" s="271"/>
      <x:c r="AE104" s="271"/>
      <x:c r="AF104" s="271"/>
      <x:c r="AG104" s="271"/>
    </x:row>
    <x:row r="105">
      <x:c r="A105" s="272"/>
      <x:c r="B105" s="272"/>
      <x:c r="C105" s="272"/>
      <x:c r="D105" s="272"/>
      <x:c r="E105" s="272"/>
      <x:c r="F105" s="272"/>
      <x:c r="G105" s="272"/>
      <x:c r="H105" s="272"/>
      <x:c r="I105" s="272"/>
      <x:c r="J105" s="272"/>
      <x:c r="K105" s="272"/>
      <x:c r="L105" s="272"/>
      <x:c r="M105" s="272"/>
      <x:c r="N105" s="272"/>
      <x:c r="O105" s="272"/>
      <x:c r="P105" s="272"/>
      <x:c r="Q105" s="272"/>
      <x:c r="R105" s="272"/>
      <x:c r="S105" s="272"/>
      <x:c r="T105" s="272"/>
      <x:c r="U105" s="272"/>
      <x:c r="V105" s="272"/>
      <x:c r="W105" s="272"/>
      <x:c r="X105" s="272"/>
      <x:c r="Y105" s="271"/>
      <x:c r="Z105" s="271"/>
      <x:c r="AA105" s="271"/>
      <x:c r="AB105" s="271"/>
      <x:c r="AC105" s="271"/>
      <x:c r="AD105" s="271"/>
      <x:c r="AE105" s="271"/>
      <x:c r="AF105" s="271"/>
      <x:c r="AG105" s="271"/>
    </x:row>
    <x:row r="106">
      <x:c r="A106" s="272"/>
      <x:c r="B106" s="272"/>
      <x:c r="C106" s="272"/>
      <x:c r="D106" s="272"/>
      <x:c r="E106" s="272"/>
      <x:c r="F106" s="272"/>
      <x:c r="G106" s="272"/>
      <x:c r="H106" s="272"/>
      <x:c r="I106" s="272"/>
      <x:c r="J106" s="272"/>
      <x:c r="K106" s="272"/>
      <x:c r="L106" s="272"/>
      <x:c r="M106" s="272"/>
      <x:c r="N106" s="272"/>
      <x:c r="O106" s="272"/>
      <x:c r="P106" s="272"/>
      <x:c r="Q106" s="272"/>
      <x:c r="R106" s="272"/>
      <x:c r="S106" s="272"/>
      <x:c r="T106" s="272"/>
      <x:c r="U106" s="272"/>
      <x:c r="V106" s="272"/>
      <x:c r="W106" s="272"/>
      <x:c r="X106" s="272"/>
      <x:c r="Y106" s="271"/>
      <x:c r="Z106" s="271"/>
      <x:c r="AA106" s="271"/>
      <x:c r="AB106" s="271"/>
      <x:c r="AC106" s="271"/>
      <x:c r="AD106" s="271"/>
      <x:c r="AE106" s="271"/>
      <x:c r="AF106" s="271"/>
      <x:c r="AG106" s="271"/>
    </x:row>
    <x:row r="107">
      <x:c r="A107" s="272"/>
      <x:c r="B107" s="272"/>
      <x:c r="C107" s="272"/>
      <x:c r="D107" s="272"/>
      <x:c r="E107" s="272"/>
      <x:c r="F107" s="272"/>
      <x:c r="G107" s="272"/>
      <x:c r="H107" s="272"/>
      <x:c r="I107" s="272"/>
      <x:c r="J107" s="272"/>
      <x:c r="K107" s="272"/>
      <x:c r="L107" s="272"/>
      <x:c r="M107" s="272"/>
      <x:c r="N107" s="272"/>
      <x:c r="O107" s="272"/>
      <x:c r="P107" s="272"/>
      <x:c r="Q107" s="272"/>
      <x:c r="R107" s="272"/>
      <x:c r="S107" s="272"/>
      <x:c r="T107" s="272"/>
      <x:c r="U107" s="272"/>
      <x:c r="V107" s="272"/>
      <x:c r="W107" s="272"/>
      <x:c r="X107" s="272"/>
      <x:c r="Y107" s="271"/>
      <x:c r="Z107" s="271"/>
      <x:c r="AA107" s="271"/>
      <x:c r="AB107" s="271"/>
      <x:c r="AC107" s="271"/>
      <x:c r="AD107" s="271"/>
      <x:c r="AE107" s="271"/>
      <x:c r="AF107" s="271"/>
      <x:c r="AG107" s="271"/>
    </x:row>
    <x:row r="108">
      <x:c r="A108" s="272"/>
      <x:c r="B108" s="272"/>
      <x:c r="C108" s="272"/>
      <x:c r="D108" s="272"/>
      <x:c r="E108" s="272"/>
      <x:c r="F108" s="272"/>
      <x:c r="G108" s="272"/>
      <x:c r="H108" s="272"/>
      <x:c r="I108" s="272"/>
      <x:c r="J108" s="272"/>
      <x:c r="K108" s="272"/>
      <x:c r="L108" s="272"/>
      <x:c r="M108" s="272"/>
      <x:c r="N108" s="272"/>
      <x:c r="O108" s="272"/>
      <x:c r="P108" s="272"/>
      <x:c r="Q108" s="272"/>
      <x:c r="R108" s="272"/>
      <x:c r="S108" s="272"/>
      <x:c r="T108" s="272"/>
      <x:c r="U108" s="272"/>
      <x:c r="V108" s="272"/>
      <x:c r="W108" s="272"/>
      <x:c r="X108" s="272"/>
      <x:c r="Y108" s="271"/>
      <x:c r="Z108" s="271"/>
      <x:c r="AA108" s="271"/>
      <x:c r="AB108" s="271"/>
      <x:c r="AC108" s="271"/>
      <x:c r="AD108" s="271"/>
      <x:c r="AE108" s="271"/>
      <x:c r="AF108" s="271"/>
      <x:c r="AG108" s="271"/>
    </x:row>
    <x:row r="109">
      <x:c r="A109" s="272"/>
      <x:c r="B109" s="272"/>
      <x:c r="C109" s="272"/>
      <x:c r="D109" s="272"/>
      <x:c r="E109" s="272"/>
      <x:c r="F109" s="272"/>
      <x:c r="G109" s="272"/>
      <x:c r="H109" s="272"/>
      <x:c r="I109" s="272"/>
      <x:c r="J109" s="272"/>
      <x:c r="K109" s="272"/>
      <x:c r="L109" s="272"/>
      <x:c r="M109" s="272"/>
      <x:c r="N109" s="272"/>
      <x:c r="O109" s="272"/>
      <x:c r="P109" s="272"/>
      <x:c r="Q109" s="272"/>
      <x:c r="R109" s="272"/>
      <x:c r="S109" s="272"/>
      <x:c r="T109" s="272"/>
      <x:c r="U109" s="272"/>
      <x:c r="V109" s="272"/>
      <x:c r="W109" s="272"/>
      <x:c r="X109" s="272"/>
      <x:c r="Y109" s="271"/>
      <x:c r="Z109" s="271"/>
      <x:c r="AA109" s="271"/>
      <x:c r="AB109" s="271"/>
      <x:c r="AC109" s="271"/>
      <x:c r="AD109" s="271"/>
      <x:c r="AE109" s="271"/>
      <x:c r="AF109" s="271"/>
      <x:c r="AG109" s="271"/>
    </x:row>
    <x:row r="110">
      <x:c r="A110" s="272"/>
      <x:c r="B110" s="272"/>
      <x:c r="C110" s="272"/>
      <x:c r="D110" s="272"/>
      <x:c r="E110" s="272"/>
      <x:c r="F110" s="272"/>
      <x:c r="G110" s="272"/>
      <x:c r="H110" s="272"/>
      <x:c r="I110" s="272"/>
      <x:c r="J110" s="272"/>
      <x:c r="K110" s="272"/>
      <x:c r="L110" s="272"/>
      <x:c r="M110" s="272"/>
      <x:c r="N110" s="272"/>
      <x:c r="O110" s="272"/>
      <x:c r="P110" s="272"/>
      <x:c r="Q110" s="272"/>
      <x:c r="R110" s="272"/>
      <x:c r="S110" s="272"/>
      <x:c r="T110" s="272"/>
      <x:c r="U110" s="272"/>
      <x:c r="V110" s="272"/>
      <x:c r="W110" s="272"/>
      <x:c r="X110" s="272"/>
      <x:c r="Y110" s="271"/>
      <x:c r="Z110" s="271"/>
      <x:c r="AA110" s="271"/>
      <x:c r="AB110" s="271"/>
      <x:c r="AC110" s="271"/>
      <x:c r="AD110" s="271"/>
      <x:c r="AE110" s="271"/>
      <x:c r="AF110" s="271"/>
      <x:c r="AG110" s="271"/>
    </x:row>
    <x:row r="111">
      <x:c r="A111" s="272"/>
      <x:c r="B111" s="272"/>
      <x:c r="C111" s="272"/>
      <x:c r="D111" s="272"/>
      <x:c r="E111" s="272"/>
      <x:c r="F111" s="272"/>
      <x:c r="G111" s="272"/>
      <x:c r="H111" s="272"/>
      <x:c r="I111" s="272"/>
      <x:c r="J111" s="272"/>
      <x:c r="K111" s="272"/>
      <x:c r="L111" s="272"/>
      <x:c r="M111" s="272"/>
      <x:c r="N111" s="272"/>
      <x:c r="O111" s="272"/>
      <x:c r="P111" s="272"/>
      <x:c r="Q111" s="272"/>
      <x:c r="R111" s="272"/>
      <x:c r="S111" s="272"/>
      <x:c r="T111" s="272"/>
      <x:c r="U111" s="272"/>
      <x:c r="V111" s="272"/>
      <x:c r="W111" s="272"/>
      <x:c r="X111" s="272"/>
      <x:c r="Y111" s="271"/>
      <x:c r="Z111" s="271"/>
      <x:c r="AA111" s="271"/>
      <x:c r="AB111" s="271"/>
      <x:c r="AC111" s="271"/>
      <x:c r="AD111" s="271"/>
      <x:c r="AE111" s="271"/>
      <x:c r="AF111" s="271"/>
      <x:c r="AG111" s="271"/>
    </x:row>
    <x:row r="112">
      <x:c r="A112" s="272"/>
      <x:c r="B112" s="272"/>
      <x:c r="C112" s="272"/>
      <x:c r="D112" s="272"/>
      <x:c r="E112" s="272"/>
      <x:c r="F112" s="272"/>
      <x:c r="G112" s="272"/>
      <x:c r="H112" s="272"/>
      <x:c r="I112" s="272"/>
      <x:c r="J112" s="272"/>
      <x:c r="K112" s="272"/>
      <x:c r="L112" s="272"/>
      <x:c r="M112" s="272"/>
      <x:c r="N112" s="272"/>
      <x:c r="O112" s="272"/>
      <x:c r="P112" s="272"/>
      <x:c r="Q112" s="272"/>
      <x:c r="R112" s="272"/>
      <x:c r="S112" s="272"/>
      <x:c r="T112" s="272"/>
      <x:c r="U112" s="272"/>
      <x:c r="V112" s="272"/>
      <x:c r="W112" s="272"/>
      <x:c r="X112" s="272"/>
      <x:c r="Y112" s="271"/>
      <x:c r="Z112" s="271"/>
      <x:c r="AA112" s="271"/>
      <x:c r="AB112" s="271"/>
      <x:c r="AC112" s="271"/>
      <x:c r="AD112" s="271"/>
      <x:c r="AE112" s="271"/>
      <x:c r="AF112" s="271"/>
      <x:c r="AG112" s="271"/>
    </x:row>
    <x:row r="113">
      <x:c r="A113" s="272"/>
      <x:c r="B113" s="272"/>
      <x:c r="C113" s="272"/>
      <x:c r="D113" s="272"/>
      <x:c r="E113" s="272"/>
      <x:c r="F113" s="272"/>
      <x:c r="G113" s="272"/>
      <x:c r="H113" s="272"/>
      <x:c r="I113" s="272"/>
      <x:c r="J113" s="272"/>
      <x:c r="K113" s="272"/>
      <x:c r="L113" s="272"/>
      <x:c r="M113" s="272"/>
      <x:c r="N113" s="272"/>
      <x:c r="O113" s="272"/>
      <x:c r="P113" s="272"/>
      <x:c r="Q113" s="272"/>
      <x:c r="R113" s="272"/>
      <x:c r="S113" s="272"/>
      <x:c r="T113" s="272"/>
      <x:c r="U113" s="272"/>
      <x:c r="V113" s="272"/>
      <x:c r="W113" s="272"/>
      <x:c r="X113" s="272"/>
      <x:c r="Y113" s="271"/>
      <x:c r="Z113" s="271"/>
      <x:c r="AA113" s="271"/>
      <x:c r="AB113" s="271"/>
      <x:c r="AC113" s="271"/>
      <x:c r="AD113" s="271"/>
      <x:c r="AE113" s="271"/>
      <x:c r="AF113" s="271"/>
      <x:c r="AG113" s="271"/>
    </x:row>
    <x:row r="114">
      <x:c r="A114" s="272"/>
      <x:c r="B114" s="272"/>
      <x:c r="C114" s="272"/>
      <x:c r="D114" s="272"/>
      <x:c r="E114" s="272"/>
      <x:c r="F114" s="272"/>
      <x:c r="G114" s="272"/>
      <x:c r="H114" s="272"/>
      <x:c r="I114" s="272"/>
      <x:c r="J114" s="272"/>
      <x:c r="K114" s="272"/>
      <x:c r="L114" s="272"/>
      <x:c r="M114" s="272"/>
      <x:c r="N114" s="272"/>
      <x:c r="O114" s="272"/>
      <x:c r="P114" s="272"/>
      <x:c r="Q114" s="272"/>
      <x:c r="R114" s="272"/>
      <x:c r="S114" s="272"/>
      <x:c r="T114" s="272"/>
      <x:c r="U114" s="272"/>
      <x:c r="V114" s="272"/>
      <x:c r="W114" s="272"/>
      <x:c r="X114" s="272"/>
      <x:c r="Y114" s="271"/>
      <x:c r="Z114" s="271"/>
      <x:c r="AA114" s="271"/>
      <x:c r="AB114" s="271"/>
      <x:c r="AC114" s="271"/>
      <x:c r="AD114" s="271"/>
      <x:c r="AE114" s="271"/>
      <x:c r="AF114" s="271"/>
      <x:c r="AG114" s="271"/>
    </x:row>
    <x:row r="115">
      <x:c r="A115" s="272"/>
      <x:c r="B115" s="272"/>
      <x:c r="C115" s="272"/>
      <x:c r="D115" s="272"/>
      <x:c r="E115" s="272"/>
      <x:c r="F115" s="272"/>
      <x:c r="G115" s="272"/>
      <x:c r="H115" s="272"/>
      <x:c r="I115" s="272"/>
      <x:c r="J115" s="272"/>
      <x:c r="K115" s="272"/>
      <x:c r="L115" s="272"/>
      <x:c r="M115" s="272"/>
      <x:c r="N115" s="272"/>
      <x:c r="O115" s="272"/>
      <x:c r="P115" s="272"/>
      <x:c r="Q115" s="272"/>
      <x:c r="R115" s="272"/>
      <x:c r="S115" s="272"/>
      <x:c r="T115" s="272"/>
      <x:c r="U115" s="272"/>
      <x:c r="V115" s="272"/>
      <x:c r="W115" s="272"/>
      <x:c r="X115" s="272"/>
      <x:c r="Y115" s="271"/>
      <x:c r="Z115" s="271"/>
      <x:c r="AA115" s="271"/>
      <x:c r="AB115" s="271"/>
      <x:c r="AC115" s="271"/>
      <x:c r="AD115" s="271"/>
      <x:c r="AE115" s="271"/>
      <x:c r="AF115" s="271"/>
      <x:c r="AG115" s="271"/>
    </x:row>
    <x:row r="116">
      <x:c r="A116" s="272"/>
      <x:c r="B116" s="272"/>
      <x:c r="C116" s="272"/>
      <x:c r="D116" s="272"/>
      <x:c r="E116" s="272"/>
      <x:c r="F116" s="272"/>
      <x:c r="G116" s="272"/>
      <x:c r="H116" s="272"/>
      <x:c r="I116" s="272"/>
      <x:c r="J116" s="272"/>
      <x:c r="K116" s="272"/>
      <x:c r="L116" s="272"/>
      <x:c r="M116" s="272"/>
      <x:c r="N116" s="272"/>
      <x:c r="O116" s="272"/>
      <x:c r="P116" s="272"/>
      <x:c r="Q116" s="272"/>
      <x:c r="R116" s="272"/>
      <x:c r="S116" s="272"/>
      <x:c r="T116" s="272"/>
      <x:c r="U116" s="272"/>
      <x:c r="V116" s="272"/>
      <x:c r="W116" s="272"/>
      <x:c r="X116" s="272"/>
      <x:c r="Y116" s="271"/>
      <x:c r="Z116" s="271"/>
      <x:c r="AA116" s="271"/>
      <x:c r="AB116" s="271"/>
      <x:c r="AC116" s="271"/>
      <x:c r="AD116" s="271"/>
      <x:c r="AE116" s="271"/>
      <x:c r="AF116" s="271"/>
      <x:c r="AG116" s="271"/>
    </x:row>
    <x:row r="117">
      <x:c r="A117" s="272"/>
      <x:c r="B117" s="272"/>
      <x:c r="C117" s="272"/>
      <x:c r="D117" s="272"/>
      <x:c r="E117" s="272"/>
      <x:c r="F117" s="272"/>
      <x:c r="G117" s="272"/>
      <x:c r="H117" s="272"/>
      <x:c r="I117" s="272"/>
      <x:c r="J117" s="272"/>
      <x:c r="K117" s="272"/>
      <x:c r="L117" s="272"/>
      <x:c r="M117" s="272"/>
      <x:c r="N117" s="272"/>
      <x:c r="O117" s="272"/>
      <x:c r="P117" s="272"/>
      <x:c r="Q117" s="272"/>
      <x:c r="R117" s="272"/>
      <x:c r="S117" s="272"/>
      <x:c r="T117" s="272"/>
      <x:c r="U117" s="272"/>
      <x:c r="V117" s="272"/>
      <x:c r="W117" s="272"/>
      <x:c r="X117" s="272"/>
      <x:c r="Y117" s="271"/>
      <x:c r="Z117" s="271"/>
      <x:c r="AA117" s="271"/>
      <x:c r="AB117" s="271"/>
      <x:c r="AC117" s="271"/>
      <x:c r="AD117" s="271"/>
      <x:c r="AE117" s="271"/>
      <x:c r="AF117" s="271"/>
      <x:c r="AG117" s="271"/>
    </x:row>
    <x:row r="118">
      <x:c r="A118" s="272"/>
      <x:c r="B118" s="272"/>
      <x:c r="C118" s="272"/>
      <x:c r="D118" s="272"/>
      <x:c r="E118" s="272"/>
      <x:c r="F118" s="272"/>
      <x:c r="G118" s="272"/>
      <x:c r="H118" s="272"/>
      <x:c r="I118" s="272"/>
      <x:c r="J118" s="272"/>
      <x:c r="K118" s="272"/>
      <x:c r="L118" s="272"/>
      <x:c r="M118" s="272"/>
      <x:c r="N118" s="272"/>
      <x:c r="O118" s="272"/>
      <x:c r="P118" s="272"/>
      <x:c r="Q118" s="272"/>
      <x:c r="R118" s="272"/>
      <x:c r="S118" s="272"/>
      <x:c r="T118" s="272"/>
      <x:c r="U118" s="272"/>
      <x:c r="V118" s="272"/>
      <x:c r="W118" s="272"/>
      <x:c r="X118" s="272"/>
      <x:c r="Y118" s="271"/>
      <x:c r="Z118" s="271"/>
      <x:c r="AA118" s="271"/>
      <x:c r="AB118" s="271"/>
      <x:c r="AC118" s="271"/>
      <x:c r="AD118" s="271"/>
      <x:c r="AE118" s="271"/>
      <x:c r="AF118" s="271"/>
      <x:c r="AG118" s="271"/>
    </x:row>
    <x:row r="119">
      <x:c r="A119" s="272"/>
      <x:c r="B119" s="272"/>
      <x:c r="C119" s="272"/>
      <x:c r="D119" s="272"/>
      <x:c r="E119" s="272"/>
      <x:c r="F119" s="272"/>
      <x:c r="G119" s="272"/>
      <x:c r="H119" s="272"/>
      <x:c r="I119" s="272"/>
      <x:c r="J119" s="272"/>
      <x:c r="K119" s="272"/>
      <x:c r="L119" s="272"/>
      <x:c r="M119" s="272"/>
      <x:c r="N119" s="272"/>
      <x:c r="O119" s="272"/>
      <x:c r="P119" s="272"/>
      <x:c r="Q119" s="272"/>
      <x:c r="R119" s="272"/>
      <x:c r="S119" s="272"/>
      <x:c r="T119" s="272"/>
      <x:c r="U119" s="272"/>
      <x:c r="V119" s="272"/>
      <x:c r="W119" s="272"/>
      <x:c r="X119" s="272"/>
      <x:c r="Y119" s="271"/>
      <x:c r="Z119" s="271"/>
      <x:c r="AA119" s="271"/>
      <x:c r="AB119" s="271"/>
      <x:c r="AC119" s="271"/>
      <x:c r="AD119" s="271"/>
      <x:c r="AE119" s="271"/>
      <x:c r="AF119" s="271"/>
      <x:c r="AG119" s="271"/>
    </x:row>
    <x:row r="120">
      <x:c r="A120" s="272"/>
      <x:c r="B120" s="272"/>
      <x:c r="C120" s="272"/>
      <x:c r="D120" s="272"/>
      <x:c r="E120" s="272"/>
      <x:c r="F120" s="272"/>
      <x:c r="G120" s="272"/>
      <x:c r="H120" s="272"/>
      <x:c r="I120" s="272"/>
      <x:c r="J120" s="272"/>
      <x:c r="K120" s="272"/>
      <x:c r="L120" s="272"/>
      <x:c r="M120" s="272"/>
      <x:c r="N120" s="272"/>
      <x:c r="O120" s="272"/>
      <x:c r="P120" s="272"/>
      <x:c r="Q120" s="272"/>
      <x:c r="R120" s="272"/>
      <x:c r="S120" s="272"/>
      <x:c r="T120" s="272"/>
      <x:c r="U120" s="272"/>
      <x:c r="V120" s="272"/>
      <x:c r="W120" s="272"/>
      <x:c r="X120" s="272"/>
      <x:c r="Y120" s="271"/>
      <x:c r="Z120" s="271"/>
      <x:c r="AA120" s="271"/>
      <x:c r="AB120" s="271"/>
      <x:c r="AC120" s="271"/>
      <x:c r="AD120" s="271"/>
      <x:c r="AE120" s="271"/>
      <x:c r="AF120" s="271"/>
      <x:c r="AG120" s="271"/>
    </x:row>
    <x:row r="121">
      <x:c r="A121" s="272"/>
      <x:c r="B121" s="272"/>
      <x:c r="C121" s="272"/>
      <x:c r="D121" s="272"/>
      <x:c r="E121" s="272"/>
      <x:c r="F121" s="272"/>
      <x:c r="G121" s="272"/>
      <x:c r="H121" s="272"/>
      <x:c r="I121" s="272"/>
      <x:c r="J121" s="272"/>
      <x:c r="K121" s="272"/>
      <x:c r="L121" s="272"/>
      <x:c r="M121" s="272"/>
      <x:c r="N121" s="272"/>
      <x:c r="O121" s="272"/>
      <x:c r="P121" s="272"/>
      <x:c r="Q121" s="272"/>
      <x:c r="R121" s="272"/>
      <x:c r="S121" s="272"/>
      <x:c r="T121" s="272"/>
      <x:c r="U121" s="272"/>
      <x:c r="V121" s="272"/>
      <x:c r="W121" s="272"/>
      <x:c r="X121" s="272"/>
      <x:c r="Y121" s="271"/>
      <x:c r="Z121" s="271"/>
      <x:c r="AA121" s="271"/>
      <x:c r="AB121" s="271"/>
      <x:c r="AC121" s="271"/>
      <x:c r="AD121" s="271"/>
      <x:c r="AE121" s="271"/>
      <x:c r="AF121" s="271"/>
      <x:c r="AG121" s="271"/>
    </x:row>
    <x:row r="122">
      <x:c r="A122" s="272"/>
      <x:c r="B122" s="272"/>
      <x:c r="C122" s="272"/>
      <x:c r="D122" s="272"/>
      <x:c r="E122" s="272"/>
      <x:c r="F122" s="272"/>
      <x:c r="G122" s="272"/>
      <x:c r="H122" s="272"/>
      <x:c r="I122" s="272"/>
      <x:c r="J122" s="272"/>
      <x:c r="K122" s="272"/>
      <x:c r="L122" s="272"/>
      <x:c r="M122" s="272"/>
      <x:c r="N122" s="272"/>
      <x:c r="O122" s="272"/>
      <x:c r="P122" s="272"/>
      <x:c r="Q122" s="272"/>
      <x:c r="R122" s="272"/>
      <x:c r="S122" s="272"/>
      <x:c r="T122" s="272"/>
      <x:c r="U122" s="272"/>
      <x:c r="V122" s="272"/>
      <x:c r="W122" s="272"/>
      <x:c r="X122" s="272"/>
      <x:c r="Y122" s="271"/>
      <x:c r="Z122" s="271"/>
      <x:c r="AA122" s="271"/>
      <x:c r="AB122" s="271"/>
      <x:c r="AC122" s="271"/>
      <x:c r="AD122" s="271"/>
      <x:c r="AE122" s="271"/>
      <x:c r="AF122" s="271"/>
      <x:c r="AG122" s="271"/>
    </x:row>
    <x:row r="123">
      <x:c r="A123" s="272"/>
      <x:c r="B123" s="272"/>
      <x:c r="C123" s="272"/>
      <x:c r="D123" s="272"/>
      <x:c r="E123" s="272"/>
      <x:c r="F123" s="272"/>
      <x:c r="G123" s="272"/>
      <x:c r="H123" s="272"/>
      <x:c r="I123" s="272"/>
      <x:c r="J123" s="272"/>
      <x:c r="K123" s="272"/>
      <x:c r="L123" s="272"/>
      <x:c r="M123" s="272"/>
      <x:c r="N123" s="272"/>
      <x:c r="O123" s="272"/>
      <x:c r="P123" s="272"/>
      <x:c r="Q123" s="272"/>
      <x:c r="R123" s="272"/>
      <x:c r="S123" s="272"/>
      <x:c r="T123" s="272"/>
      <x:c r="U123" s="272"/>
      <x:c r="V123" s="272"/>
      <x:c r="W123" s="272"/>
      <x:c r="X123" s="272"/>
      <x:c r="Y123" s="271"/>
      <x:c r="Z123" s="271"/>
      <x:c r="AA123" s="271"/>
      <x:c r="AB123" s="271"/>
      <x:c r="AC123" s="271"/>
      <x:c r="AD123" s="271"/>
      <x:c r="AE123" s="271"/>
      <x:c r="AF123" s="271"/>
      <x:c r="AG123" s="271"/>
    </x:row>
    <x:row r="124">
      <x:c r="A124" s="272"/>
      <x:c r="B124" s="272"/>
      <x:c r="C124" s="272"/>
      <x:c r="D124" s="272"/>
      <x:c r="E124" s="272"/>
      <x:c r="F124" s="272"/>
      <x:c r="G124" s="272"/>
      <x:c r="H124" s="272"/>
      <x:c r="I124" s="272"/>
      <x:c r="J124" s="272"/>
      <x:c r="K124" s="272"/>
      <x:c r="L124" s="272"/>
      <x:c r="M124" s="272"/>
      <x:c r="N124" s="272"/>
      <x:c r="O124" s="272"/>
      <x:c r="P124" s="272"/>
      <x:c r="Q124" s="272"/>
      <x:c r="R124" s="272"/>
      <x:c r="S124" s="272"/>
      <x:c r="T124" s="272"/>
      <x:c r="U124" s="272"/>
      <x:c r="V124" s="272"/>
      <x:c r="W124" s="272"/>
      <x:c r="X124" s="272"/>
      <x:c r="Y124" s="271"/>
      <x:c r="Z124" s="271"/>
      <x:c r="AA124" s="271"/>
      <x:c r="AB124" s="271"/>
      <x:c r="AC124" s="271"/>
      <x:c r="AD124" s="271"/>
      <x:c r="AE124" s="271"/>
      <x:c r="AF124" s="271"/>
      <x:c r="AG124" s="271"/>
    </x:row>
    <x:row r="125">
      <x:c r="A125" s="272"/>
      <x:c r="B125" s="272"/>
      <x:c r="C125" s="272"/>
      <x:c r="D125" s="272"/>
      <x:c r="E125" s="272"/>
      <x:c r="F125" s="272"/>
      <x:c r="G125" s="272"/>
      <x:c r="H125" s="272"/>
      <x:c r="I125" s="272"/>
      <x:c r="J125" s="272"/>
      <x:c r="K125" s="272"/>
      <x:c r="L125" s="272"/>
      <x:c r="M125" s="272"/>
      <x:c r="N125" s="272"/>
      <x:c r="O125" s="272"/>
      <x:c r="P125" s="272"/>
      <x:c r="Q125" s="272"/>
      <x:c r="R125" s="272"/>
      <x:c r="S125" s="272"/>
      <x:c r="T125" s="272"/>
      <x:c r="U125" s="272"/>
      <x:c r="V125" s="272"/>
      <x:c r="W125" s="272"/>
      <x:c r="X125" s="272"/>
      <x:c r="Y125" s="271"/>
      <x:c r="Z125" s="271"/>
      <x:c r="AA125" s="271"/>
      <x:c r="AB125" s="271"/>
      <x:c r="AC125" s="271"/>
      <x:c r="AD125" s="271"/>
      <x:c r="AE125" s="271"/>
      <x:c r="AF125" s="271"/>
      <x:c r="AG125" s="271"/>
    </x:row>
    <x:row r="126">
      <x:c r="A126" s="272"/>
      <x:c r="B126" s="272"/>
      <x:c r="C126" s="272"/>
      <x:c r="D126" s="272"/>
      <x:c r="E126" s="272"/>
      <x:c r="F126" s="272"/>
      <x:c r="G126" s="272"/>
      <x:c r="H126" s="272"/>
      <x:c r="I126" s="272"/>
      <x:c r="J126" s="272"/>
      <x:c r="K126" s="272"/>
      <x:c r="L126" s="272"/>
      <x:c r="M126" s="272"/>
      <x:c r="N126" s="272"/>
      <x:c r="O126" s="272"/>
      <x:c r="P126" s="272"/>
      <x:c r="Q126" s="272"/>
      <x:c r="R126" s="272"/>
      <x:c r="S126" s="272"/>
      <x:c r="T126" s="272"/>
      <x:c r="U126" s="272"/>
      <x:c r="V126" s="272"/>
      <x:c r="W126" s="272"/>
      <x:c r="X126" s="272"/>
      <x:c r="Y126" s="271"/>
      <x:c r="Z126" s="271"/>
      <x:c r="AA126" s="271"/>
      <x:c r="AB126" s="271"/>
      <x:c r="AC126" s="271"/>
      <x:c r="AD126" s="271"/>
      <x:c r="AE126" s="271"/>
      <x:c r="AF126" s="271"/>
      <x:c r="AG126" s="271"/>
    </x:row>
    <x:row r="127">
      <x:c r="A127" s="272"/>
      <x:c r="B127" s="272"/>
      <x:c r="C127" s="272"/>
      <x:c r="D127" s="272"/>
      <x:c r="E127" s="272"/>
      <x:c r="F127" s="272"/>
      <x:c r="G127" s="272"/>
      <x:c r="H127" s="272"/>
      <x:c r="I127" s="272"/>
      <x:c r="J127" s="272"/>
      <x:c r="K127" s="272"/>
      <x:c r="L127" s="272"/>
      <x:c r="M127" s="272"/>
      <x:c r="N127" s="272"/>
      <x:c r="O127" s="272"/>
      <x:c r="P127" s="272"/>
      <x:c r="Q127" s="272"/>
      <x:c r="R127" s="272"/>
      <x:c r="S127" s="272"/>
      <x:c r="T127" s="272"/>
      <x:c r="U127" s="272"/>
      <x:c r="V127" s="272"/>
      <x:c r="W127" s="272"/>
      <x:c r="X127" s="272"/>
      <x:c r="Y127" s="271"/>
      <x:c r="Z127" s="271"/>
      <x:c r="AA127" s="271"/>
      <x:c r="AB127" s="271"/>
      <x:c r="AC127" s="271"/>
      <x:c r="AD127" s="271"/>
      <x:c r="AE127" s="271"/>
      <x:c r="AF127" s="271"/>
      <x:c r="AG127" s="271"/>
    </x:row>
    <x:row r="128">
      <x:c r="A128" s="272"/>
      <x:c r="B128" s="272"/>
      <x:c r="C128" s="272"/>
      <x:c r="D128" s="272"/>
      <x:c r="E128" s="272"/>
      <x:c r="F128" s="272"/>
      <x:c r="G128" s="272"/>
      <x:c r="H128" s="272"/>
      <x:c r="I128" s="272"/>
      <x:c r="J128" s="272"/>
      <x:c r="K128" s="272"/>
      <x:c r="L128" s="272"/>
      <x:c r="M128" s="272"/>
      <x:c r="N128" s="272"/>
      <x:c r="O128" s="272"/>
      <x:c r="P128" s="272"/>
      <x:c r="Q128" s="272"/>
      <x:c r="R128" s="272"/>
      <x:c r="S128" s="272"/>
      <x:c r="T128" s="272"/>
      <x:c r="U128" s="272"/>
      <x:c r="V128" s="272"/>
      <x:c r="W128" s="272"/>
      <x:c r="X128" s="272"/>
      <x:c r="Y128" s="271"/>
      <x:c r="Z128" s="271"/>
      <x:c r="AA128" s="271"/>
      <x:c r="AB128" s="271"/>
      <x:c r="AC128" s="271"/>
      <x:c r="AD128" s="271"/>
      <x:c r="AE128" s="271"/>
      <x:c r="AF128" s="271"/>
      <x:c r="AG128" s="271"/>
    </x:row>
    <x:row r="129">
      <x:c r="A129" s="272"/>
      <x:c r="B129" s="272"/>
      <x:c r="C129" s="272"/>
      <x:c r="D129" s="272"/>
      <x:c r="E129" s="272"/>
      <x:c r="F129" s="272"/>
      <x:c r="G129" s="272"/>
      <x:c r="H129" s="272"/>
      <x:c r="I129" s="272"/>
      <x:c r="J129" s="272"/>
      <x:c r="K129" s="272"/>
      <x:c r="L129" s="272"/>
      <x:c r="M129" s="272"/>
      <x:c r="N129" s="272"/>
      <x:c r="O129" s="272"/>
      <x:c r="P129" s="272"/>
      <x:c r="Q129" s="272"/>
      <x:c r="R129" s="272"/>
      <x:c r="S129" s="272"/>
      <x:c r="T129" s="272"/>
      <x:c r="U129" s="272"/>
      <x:c r="V129" s="272"/>
      <x:c r="W129" s="272"/>
      <x:c r="X129" s="272"/>
      <x:c r="Y129" s="271"/>
      <x:c r="Z129" s="271"/>
      <x:c r="AA129" s="271"/>
      <x:c r="AB129" s="271"/>
      <x:c r="AC129" s="271"/>
      <x:c r="AD129" s="271"/>
      <x:c r="AE129" s="271"/>
      <x:c r="AF129" s="271"/>
      <x:c r="AG129" s="271"/>
    </x:row>
    <x:row r="130">
      <x:c r="A130" s="272"/>
      <x:c r="B130" s="272"/>
      <x:c r="C130" s="272"/>
      <x:c r="D130" s="272"/>
      <x:c r="E130" s="272"/>
      <x:c r="F130" s="272"/>
      <x:c r="G130" s="272"/>
      <x:c r="H130" s="272"/>
      <x:c r="I130" s="272"/>
      <x:c r="J130" s="272"/>
      <x:c r="K130" s="272"/>
      <x:c r="L130" s="272"/>
      <x:c r="M130" s="272"/>
      <x:c r="N130" s="272"/>
      <x:c r="O130" s="272"/>
      <x:c r="P130" s="272"/>
      <x:c r="Q130" s="272"/>
      <x:c r="R130" s="272"/>
      <x:c r="S130" s="272"/>
      <x:c r="T130" s="272"/>
      <x:c r="U130" s="272"/>
      <x:c r="V130" s="272"/>
      <x:c r="W130" s="272"/>
      <x:c r="X130" s="272"/>
      <x:c r="Y130" s="271"/>
      <x:c r="Z130" s="271"/>
      <x:c r="AA130" s="271"/>
      <x:c r="AB130" s="271"/>
      <x:c r="AC130" s="271"/>
      <x:c r="AD130" s="271"/>
      <x:c r="AE130" s="271"/>
      <x:c r="AF130" s="271"/>
      <x:c r="AG130" s="271"/>
    </x:row>
    <x:row r="131">
      <x:c r="A131" s="272"/>
      <x:c r="B131" s="272"/>
      <x:c r="C131" s="272"/>
      <x:c r="D131" s="272"/>
      <x:c r="E131" s="272"/>
      <x:c r="F131" s="272"/>
      <x:c r="G131" s="272"/>
      <x:c r="H131" s="272"/>
      <x:c r="I131" s="272"/>
      <x:c r="J131" s="272"/>
      <x:c r="K131" s="272"/>
      <x:c r="L131" s="272"/>
      <x:c r="M131" s="272"/>
      <x:c r="N131" s="272"/>
      <x:c r="O131" s="272"/>
      <x:c r="P131" s="272"/>
      <x:c r="Q131" s="272"/>
      <x:c r="R131" s="272"/>
      <x:c r="S131" s="272"/>
      <x:c r="T131" s="272"/>
      <x:c r="U131" s="272"/>
      <x:c r="V131" s="272"/>
      <x:c r="W131" s="272"/>
      <x:c r="X131" s="272"/>
      <x:c r="Y131" s="271"/>
      <x:c r="Z131" s="271"/>
      <x:c r="AA131" s="271"/>
      <x:c r="AB131" s="271"/>
      <x:c r="AC131" s="271"/>
      <x:c r="AD131" s="271"/>
      <x:c r="AE131" s="271"/>
      <x:c r="AF131" s="271"/>
      <x:c r="AG131" s="271"/>
    </x:row>
    <x:row r="132">
      <x:c r="A132" s="272"/>
      <x:c r="B132" s="272"/>
      <x:c r="C132" s="272"/>
      <x:c r="D132" s="272"/>
      <x:c r="E132" s="272"/>
      <x:c r="F132" s="272"/>
      <x:c r="G132" s="272"/>
      <x:c r="H132" s="272"/>
      <x:c r="I132" s="272"/>
      <x:c r="J132" s="272"/>
      <x:c r="K132" s="272"/>
      <x:c r="L132" s="272"/>
      <x:c r="M132" s="272"/>
      <x:c r="N132" s="272"/>
      <x:c r="O132" s="272"/>
      <x:c r="P132" s="272"/>
      <x:c r="Q132" s="272"/>
      <x:c r="R132" s="272"/>
      <x:c r="S132" s="272"/>
      <x:c r="T132" s="272"/>
      <x:c r="U132" s="272"/>
      <x:c r="V132" s="272"/>
      <x:c r="W132" s="272"/>
      <x:c r="X132" s="272"/>
      <x:c r="Y132" s="271"/>
      <x:c r="Z132" s="271"/>
      <x:c r="AA132" s="271"/>
      <x:c r="AB132" s="271"/>
      <x:c r="AC132" s="271"/>
      <x:c r="AD132" s="271"/>
      <x:c r="AE132" s="271"/>
      <x:c r="AF132" s="271"/>
      <x:c r="AG132" s="271"/>
    </x:row>
    <x:row r="133">
      <x:c r="A133" s="272"/>
      <x:c r="B133" s="272"/>
      <x:c r="C133" s="272"/>
      <x:c r="D133" s="272"/>
      <x:c r="E133" s="272"/>
      <x:c r="F133" s="272"/>
      <x:c r="G133" s="272"/>
      <x:c r="H133" s="272"/>
      <x:c r="I133" s="272"/>
      <x:c r="J133" s="272"/>
      <x:c r="K133" s="272"/>
      <x:c r="L133" s="272"/>
      <x:c r="M133" s="272"/>
      <x:c r="N133" s="272"/>
      <x:c r="O133" s="272"/>
      <x:c r="P133" s="272"/>
      <x:c r="Q133" s="272"/>
      <x:c r="R133" s="272"/>
      <x:c r="S133" s="272"/>
      <x:c r="T133" s="272"/>
      <x:c r="U133" s="272"/>
      <x:c r="V133" s="272"/>
      <x:c r="W133" s="272"/>
      <x:c r="X133" s="272"/>
      <x:c r="Y133" s="271"/>
      <x:c r="Z133" s="271"/>
      <x:c r="AA133" s="271"/>
      <x:c r="AB133" s="271"/>
      <x:c r="AC133" s="271"/>
      <x:c r="AD133" s="271"/>
      <x:c r="AE133" s="271"/>
      <x:c r="AF133" s="271"/>
      <x:c r="AG133" s="271"/>
    </x:row>
    <x:row r="134">
      <x:c r="A134" s="272"/>
      <x:c r="B134" s="272"/>
      <x:c r="C134" s="272"/>
      <x:c r="D134" s="272"/>
      <x:c r="E134" s="272"/>
      <x:c r="F134" s="272"/>
      <x:c r="G134" s="272"/>
      <x:c r="H134" s="272"/>
      <x:c r="I134" s="272"/>
      <x:c r="J134" s="272"/>
      <x:c r="K134" s="272"/>
      <x:c r="L134" s="272"/>
      <x:c r="M134" s="272"/>
      <x:c r="N134" s="272"/>
      <x:c r="O134" s="272"/>
      <x:c r="P134" s="272"/>
      <x:c r="Q134" s="272"/>
      <x:c r="R134" s="272"/>
      <x:c r="S134" s="272"/>
      <x:c r="T134" s="272"/>
      <x:c r="U134" s="272"/>
      <x:c r="V134" s="272"/>
      <x:c r="W134" s="272"/>
      <x:c r="X134" s="272"/>
      <x:c r="Y134" s="271"/>
      <x:c r="Z134" s="271"/>
      <x:c r="AA134" s="271"/>
      <x:c r="AB134" s="271"/>
      <x:c r="AC134" s="271"/>
      <x:c r="AD134" s="271"/>
      <x:c r="AE134" s="271"/>
      <x:c r="AF134" s="271"/>
      <x:c r="AG134" s="271"/>
    </x:row>
    <x:row r="135">
      <x:c r="A135" s="272"/>
      <x:c r="B135" s="272"/>
      <x:c r="C135" s="272"/>
      <x:c r="D135" s="272"/>
      <x:c r="E135" s="272"/>
      <x:c r="F135" s="272"/>
      <x:c r="G135" s="272"/>
      <x:c r="H135" s="272"/>
      <x:c r="I135" s="272"/>
      <x:c r="J135" s="272"/>
      <x:c r="K135" s="272"/>
      <x:c r="L135" s="272"/>
      <x:c r="M135" s="272"/>
      <x:c r="N135" s="272"/>
      <x:c r="O135" s="272"/>
      <x:c r="P135" s="272"/>
      <x:c r="Q135" s="272"/>
      <x:c r="R135" s="272"/>
      <x:c r="S135" s="272"/>
      <x:c r="T135" s="272"/>
      <x:c r="U135" s="272"/>
      <x:c r="V135" s="272"/>
      <x:c r="W135" s="272"/>
      <x:c r="X135" s="272"/>
      <x:c r="Y135" s="271"/>
      <x:c r="Z135" s="271"/>
      <x:c r="AA135" s="271"/>
      <x:c r="AB135" s="271"/>
      <x:c r="AC135" s="271"/>
      <x:c r="AD135" s="271"/>
      <x:c r="AE135" s="271"/>
      <x:c r="AF135" s="271"/>
      <x:c r="AG135" s="271"/>
    </x:row>
    <x:row r="136">
      <x:c r="A136" s="272"/>
      <x:c r="B136" s="272"/>
      <x:c r="C136" s="272"/>
      <x:c r="D136" s="272"/>
      <x:c r="E136" s="272"/>
      <x:c r="F136" s="272"/>
      <x:c r="G136" s="272"/>
      <x:c r="H136" s="272"/>
      <x:c r="I136" s="272"/>
      <x:c r="J136" s="272"/>
      <x:c r="K136" s="272"/>
      <x:c r="L136" s="272"/>
      <x:c r="M136" s="272"/>
      <x:c r="N136" s="272"/>
      <x:c r="O136" s="272"/>
      <x:c r="P136" s="272"/>
      <x:c r="Q136" s="272"/>
      <x:c r="R136" s="272"/>
      <x:c r="S136" s="272"/>
      <x:c r="T136" s="272"/>
      <x:c r="U136" s="272"/>
      <x:c r="V136" s="272"/>
      <x:c r="W136" s="272"/>
      <x:c r="X136" s="272"/>
      <x:c r="Y136" s="271"/>
      <x:c r="Z136" s="271"/>
      <x:c r="AA136" s="271"/>
      <x:c r="AB136" s="271"/>
      <x:c r="AC136" s="271"/>
      <x:c r="AD136" s="271"/>
      <x:c r="AE136" s="271"/>
      <x:c r="AF136" s="271"/>
      <x:c r="AG136" s="271"/>
    </x:row>
    <x:row r="137">
      <x:c r="A137" s="272"/>
      <x:c r="B137" s="272"/>
      <x:c r="C137" s="272"/>
      <x:c r="D137" s="272"/>
      <x:c r="E137" s="272"/>
      <x:c r="F137" s="272"/>
      <x:c r="G137" s="272"/>
      <x:c r="H137" s="272"/>
      <x:c r="I137" s="272"/>
      <x:c r="J137" s="272"/>
      <x:c r="K137" s="272"/>
      <x:c r="L137" s="272"/>
      <x:c r="M137" s="272"/>
      <x:c r="N137" s="272"/>
      <x:c r="O137" s="272"/>
      <x:c r="P137" s="272"/>
      <x:c r="Q137" s="272"/>
      <x:c r="R137" s="272"/>
      <x:c r="S137" s="272"/>
      <x:c r="T137" s="272"/>
      <x:c r="U137" s="272"/>
      <x:c r="V137" s="272"/>
      <x:c r="W137" s="272"/>
      <x:c r="X137" s="272"/>
      <x:c r="Y137" s="271"/>
      <x:c r="Z137" s="271"/>
      <x:c r="AA137" s="271"/>
      <x:c r="AB137" s="271"/>
      <x:c r="AC137" s="271"/>
      <x:c r="AD137" s="271"/>
      <x:c r="AE137" s="271"/>
      <x:c r="AF137" s="271"/>
      <x:c r="AG137" s="271"/>
    </x:row>
    <x:row r="138">
      <x:c r="A138" s="272"/>
      <x:c r="B138" s="272"/>
      <x:c r="C138" s="272"/>
      <x:c r="D138" s="272"/>
      <x:c r="E138" s="272"/>
      <x:c r="F138" s="272"/>
      <x:c r="G138" s="272"/>
      <x:c r="H138" s="272"/>
      <x:c r="I138" s="272"/>
      <x:c r="J138" s="272"/>
      <x:c r="K138" s="272"/>
      <x:c r="L138" s="272"/>
      <x:c r="M138" s="272"/>
      <x:c r="N138" s="272"/>
      <x:c r="O138" s="272"/>
      <x:c r="P138" s="272"/>
      <x:c r="Q138" s="272"/>
      <x:c r="R138" s="272"/>
      <x:c r="S138" s="272"/>
      <x:c r="T138" s="272"/>
      <x:c r="U138" s="272"/>
      <x:c r="V138" s="272"/>
      <x:c r="W138" s="272"/>
      <x:c r="X138" s="272"/>
      <x:c r="Y138" s="271"/>
      <x:c r="Z138" s="271"/>
      <x:c r="AA138" s="271"/>
      <x:c r="AB138" s="271"/>
      <x:c r="AC138" s="271"/>
      <x:c r="AD138" s="271"/>
      <x:c r="AE138" s="271"/>
      <x:c r="AF138" s="271"/>
      <x:c r="AG138" s="271"/>
    </x:row>
    <x:row r="139">
      <x:c r="A139" s="272"/>
      <x:c r="B139" s="272"/>
      <x:c r="C139" s="272"/>
      <x:c r="D139" s="272"/>
      <x:c r="E139" s="272"/>
      <x:c r="F139" s="272"/>
      <x:c r="G139" s="272"/>
      <x:c r="H139" s="272"/>
      <x:c r="I139" s="272"/>
      <x:c r="J139" s="272"/>
      <x:c r="K139" s="272"/>
      <x:c r="L139" s="272"/>
      <x:c r="M139" s="272"/>
      <x:c r="N139" s="272"/>
      <x:c r="O139" s="272"/>
      <x:c r="P139" s="272"/>
      <x:c r="Q139" s="272"/>
      <x:c r="R139" s="272"/>
      <x:c r="S139" s="272"/>
      <x:c r="T139" s="272"/>
      <x:c r="U139" s="272"/>
      <x:c r="V139" s="272"/>
      <x:c r="W139" s="272"/>
      <x:c r="X139" s="272"/>
      <x:c r="Y139" s="271"/>
      <x:c r="Z139" s="271"/>
      <x:c r="AA139" s="271"/>
      <x:c r="AB139" s="271"/>
      <x:c r="AC139" s="271"/>
      <x:c r="AD139" s="271"/>
      <x:c r="AE139" s="271"/>
      <x:c r="AF139" s="271"/>
      <x:c r="AG139" s="271"/>
    </x:row>
    <x:row r="140">
      <x:c r="A140" s="272"/>
      <x:c r="B140" s="272"/>
      <x:c r="C140" s="272"/>
      <x:c r="D140" s="272"/>
      <x:c r="E140" s="272"/>
      <x:c r="F140" s="272"/>
      <x:c r="G140" s="272"/>
      <x:c r="H140" s="272"/>
      <x:c r="I140" s="272"/>
      <x:c r="J140" s="272"/>
      <x:c r="K140" s="272"/>
      <x:c r="L140" s="272"/>
      <x:c r="M140" s="272"/>
      <x:c r="N140" s="272"/>
      <x:c r="O140" s="272"/>
      <x:c r="P140" s="272"/>
      <x:c r="Q140" s="272"/>
      <x:c r="R140" s="272"/>
      <x:c r="S140" s="272"/>
      <x:c r="T140" s="272"/>
      <x:c r="U140" s="272"/>
      <x:c r="V140" s="272"/>
      <x:c r="W140" s="272"/>
      <x:c r="X140" s="272"/>
      <x:c r="Y140" s="271"/>
      <x:c r="Z140" s="271"/>
      <x:c r="AA140" s="271"/>
      <x:c r="AB140" s="271"/>
      <x:c r="AC140" s="271"/>
      <x:c r="AD140" s="271"/>
      <x:c r="AE140" s="271"/>
      <x:c r="AF140" s="271"/>
      <x:c r="AG140" s="271"/>
    </x:row>
    <x:row r="141">
      <x:c r="A141" s="272"/>
      <x:c r="B141" s="272"/>
      <x:c r="C141" s="272"/>
      <x:c r="D141" s="272"/>
      <x:c r="E141" s="272"/>
      <x:c r="F141" s="272"/>
      <x:c r="G141" s="272"/>
      <x:c r="H141" s="272"/>
      <x:c r="I141" s="272"/>
      <x:c r="J141" s="272"/>
      <x:c r="K141" s="272"/>
      <x:c r="L141" s="272"/>
      <x:c r="M141" s="272"/>
      <x:c r="N141" s="272"/>
      <x:c r="O141" s="272"/>
      <x:c r="P141" s="272"/>
      <x:c r="Q141" s="272"/>
      <x:c r="R141" s="272"/>
      <x:c r="S141" s="272"/>
      <x:c r="T141" s="272"/>
      <x:c r="U141" s="272"/>
      <x:c r="V141" s="272"/>
      <x:c r="W141" s="272"/>
      <x:c r="X141" s="272"/>
      <x:c r="Y141" s="271"/>
      <x:c r="Z141" s="271"/>
      <x:c r="AA141" s="271"/>
      <x:c r="AB141" s="271"/>
      <x:c r="AC141" s="271"/>
      <x:c r="AD141" s="271"/>
      <x:c r="AE141" s="271"/>
      <x:c r="AF141" s="271"/>
      <x:c r="AG141" s="271"/>
    </x:row>
    <x:row r="142">
      <x:c r="A142" s="272"/>
      <x:c r="B142" s="272"/>
      <x:c r="C142" s="272"/>
      <x:c r="D142" s="272"/>
      <x:c r="E142" s="272"/>
      <x:c r="F142" s="272"/>
      <x:c r="G142" s="272"/>
      <x:c r="H142" s="272"/>
      <x:c r="I142" s="272"/>
      <x:c r="J142" s="272"/>
      <x:c r="K142" s="272"/>
      <x:c r="L142" s="272"/>
      <x:c r="M142" s="272"/>
      <x:c r="N142" s="272"/>
      <x:c r="O142" s="272"/>
      <x:c r="P142" s="272"/>
      <x:c r="Q142" s="272"/>
      <x:c r="R142" s="272"/>
      <x:c r="S142" s="272"/>
      <x:c r="T142" s="272"/>
      <x:c r="U142" s="272"/>
      <x:c r="V142" s="272"/>
      <x:c r="W142" s="272"/>
      <x:c r="X142" s="272"/>
      <x:c r="Y142" s="271"/>
      <x:c r="Z142" s="271"/>
      <x:c r="AA142" s="271"/>
      <x:c r="AB142" s="271"/>
      <x:c r="AC142" s="271"/>
      <x:c r="AD142" s="271"/>
      <x:c r="AE142" s="271"/>
      <x:c r="AF142" s="271"/>
      <x:c r="AG142" s="271"/>
    </x:row>
    <x:row r="143">
      <x:c r="A143" s="272"/>
      <x:c r="B143" s="272"/>
      <x:c r="C143" s="272"/>
      <x:c r="D143" s="272"/>
      <x:c r="E143" s="272"/>
      <x:c r="F143" s="272"/>
      <x:c r="G143" s="272"/>
      <x:c r="H143" s="272"/>
      <x:c r="I143" s="272"/>
      <x:c r="J143" s="272"/>
      <x:c r="K143" s="272"/>
      <x:c r="L143" s="272"/>
      <x:c r="M143" s="272"/>
      <x:c r="N143" s="272"/>
      <x:c r="O143" s="272"/>
      <x:c r="P143" s="272"/>
      <x:c r="Q143" s="272"/>
      <x:c r="R143" s="272"/>
      <x:c r="S143" s="272"/>
      <x:c r="T143" s="272"/>
      <x:c r="U143" s="272"/>
      <x:c r="V143" s="272"/>
      <x:c r="W143" s="272"/>
      <x:c r="X143" s="272"/>
      <x:c r="Y143" s="271"/>
      <x:c r="Z143" s="271"/>
      <x:c r="AA143" s="271"/>
      <x:c r="AB143" s="271"/>
      <x:c r="AC143" s="271"/>
      <x:c r="AD143" s="271"/>
      <x:c r="AE143" s="271"/>
      <x:c r="AF143" s="271"/>
      <x:c r="AG143" s="271"/>
    </x:row>
    <x:row r="144">
      <x:c r="A144" s="272"/>
      <x:c r="B144" s="272"/>
      <x:c r="C144" s="272"/>
      <x:c r="D144" s="272"/>
      <x:c r="E144" s="272"/>
      <x:c r="F144" s="272"/>
      <x:c r="G144" s="272"/>
      <x:c r="H144" s="272"/>
      <x:c r="I144" s="272"/>
      <x:c r="J144" s="272"/>
      <x:c r="K144" s="272"/>
      <x:c r="L144" s="272"/>
      <x:c r="M144" s="272"/>
      <x:c r="N144" s="272"/>
      <x:c r="O144" s="272"/>
      <x:c r="P144" s="272"/>
      <x:c r="Q144" s="272"/>
      <x:c r="R144" s="272"/>
      <x:c r="S144" s="272"/>
      <x:c r="T144" s="272"/>
      <x:c r="U144" s="272"/>
      <x:c r="V144" s="272"/>
      <x:c r="W144" s="272"/>
      <x:c r="X144" s="272"/>
      <x:c r="Y144" s="271"/>
      <x:c r="Z144" s="271"/>
      <x:c r="AA144" s="271"/>
      <x:c r="AB144" s="271"/>
      <x:c r="AC144" s="271"/>
      <x:c r="AD144" s="271"/>
      <x:c r="AE144" s="271"/>
      <x:c r="AF144" s="271"/>
      <x:c r="AG144" s="271"/>
    </x:row>
    <x:row r="145">
      <x:c r="A145" s="272"/>
      <x:c r="B145" s="272"/>
      <x:c r="C145" s="272"/>
      <x:c r="D145" s="272"/>
      <x:c r="E145" s="272"/>
      <x:c r="F145" s="272"/>
      <x:c r="G145" s="272"/>
      <x:c r="H145" s="272"/>
      <x:c r="I145" s="272"/>
      <x:c r="J145" s="272"/>
      <x:c r="K145" s="272"/>
      <x:c r="L145" s="272"/>
      <x:c r="M145" s="272"/>
      <x:c r="N145" s="272"/>
      <x:c r="O145" s="272"/>
      <x:c r="P145" s="272"/>
      <x:c r="Q145" s="272"/>
      <x:c r="R145" s="272"/>
      <x:c r="S145" s="272"/>
      <x:c r="T145" s="272"/>
      <x:c r="U145" s="272"/>
      <x:c r="V145" s="272"/>
      <x:c r="W145" s="272"/>
      <x:c r="X145" s="272"/>
      <x:c r="Y145" s="271"/>
      <x:c r="Z145" s="271"/>
      <x:c r="AA145" s="271"/>
      <x:c r="AB145" s="271"/>
      <x:c r="AC145" s="271"/>
      <x:c r="AD145" s="271"/>
      <x:c r="AE145" s="271"/>
      <x:c r="AF145" s="271"/>
      <x:c r="AG145" s="271"/>
    </x:row>
    <x:row r="146">
      <x:c r="A146" s="272"/>
      <x:c r="B146" s="272"/>
      <x:c r="C146" s="272"/>
      <x:c r="D146" s="272"/>
      <x:c r="E146" s="272"/>
      <x:c r="F146" s="272"/>
      <x:c r="G146" s="272"/>
      <x:c r="H146" s="272"/>
      <x:c r="I146" s="272"/>
      <x:c r="J146" s="272"/>
      <x:c r="K146" s="272"/>
      <x:c r="L146" s="272"/>
      <x:c r="M146" s="272"/>
      <x:c r="N146" s="272"/>
      <x:c r="O146" s="272"/>
      <x:c r="P146" s="272"/>
      <x:c r="Q146" s="272"/>
      <x:c r="R146" s="272"/>
      <x:c r="S146" s="272"/>
      <x:c r="T146" s="272"/>
      <x:c r="U146" s="272"/>
      <x:c r="V146" s="272"/>
      <x:c r="W146" s="272"/>
      <x:c r="X146" s="272"/>
      <x:c r="Y146" s="271"/>
      <x:c r="Z146" s="271"/>
      <x:c r="AA146" s="271"/>
      <x:c r="AB146" s="271"/>
      <x:c r="AC146" s="271"/>
      <x:c r="AD146" s="271"/>
      <x:c r="AE146" s="271"/>
      <x:c r="AF146" s="271"/>
      <x:c r="AG146" s="271"/>
    </x:row>
    <x:row r="147">
      <x:c r="A147" s="272"/>
      <x:c r="B147" s="272"/>
      <x:c r="C147" s="272"/>
      <x:c r="D147" s="272"/>
      <x:c r="E147" s="272"/>
      <x:c r="F147" s="272"/>
      <x:c r="G147" s="272"/>
      <x:c r="H147" s="272"/>
      <x:c r="I147" s="272"/>
      <x:c r="J147" s="272"/>
      <x:c r="K147" s="272"/>
      <x:c r="L147" s="272"/>
      <x:c r="M147" s="272"/>
      <x:c r="N147" s="272"/>
      <x:c r="O147" s="272"/>
      <x:c r="P147" s="272"/>
      <x:c r="Q147" s="272"/>
      <x:c r="R147" s="272"/>
      <x:c r="S147" s="272"/>
      <x:c r="T147" s="272"/>
      <x:c r="U147" s="272"/>
      <x:c r="V147" s="272"/>
      <x:c r="W147" s="272"/>
      <x:c r="X147" s="272"/>
      <x:c r="Y147" s="271"/>
      <x:c r="Z147" s="271"/>
      <x:c r="AA147" s="271"/>
      <x:c r="AB147" s="271"/>
      <x:c r="AC147" s="271"/>
      <x:c r="AD147" s="271"/>
      <x:c r="AE147" s="271"/>
      <x:c r="AF147" s="271"/>
      <x:c r="AG147" s="271"/>
    </x:row>
    <x:row r="148">
      <x:c r="A148" s="272"/>
      <x:c r="B148" s="272"/>
      <x:c r="C148" s="272"/>
      <x:c r="D148" s="272"/>
      <x:c r="E148" s="272"/>
      <x:c r="F148" s="272"/>
      <x:c r="G148" s="272"/>
      <x:c r="H148" s="272"/>
      <x:c r="I148" s="272"/>
      <x:c r="J148" s="272"/>
      <x:c r="K148" s="272"/>
      <x:c r="L148" s="272"/>
      <x:c r="M148" s="272"/>
      <x:c r="N148" s="272"/>
      <x:c r="O148" s="272"/>
      <x:c r="P148" s="272"/>
      <x:c r="Q148" s="272"/>
      <x:c r="R148" s="272"/>
      <x:c r="S148" s="272"/>
      <x:c r="T148" s="272"/>
      <x:c r="U148" s="272"/>
      <x:c r="V148" s="272"/>
      <x:c r="W148" s="272"/>
      <x:c r="X148" s="272"/>
      <x:c r="Y148" s="271"/>
      <x:c r="Z148" s="271"/>
      <x:c r="AA148" s="271"/>
      <x:c r="AB148" s="271"/>
      <x:c r="AC148" s="271"/>
      <x:c r="AD148" s="271"/>
      <x:c r="AE148" s="271"/>
      <x:c r="AF148" s="271"/>
      <x:c r="AG148" s="271"/>
    </x:row>
    <x:row r="149">
      <x:c r="A149" s="272"/>
      <x:c r="B149" s="272"/>
      <x:c r="C149" s="272"/>
      <x:c r="D149" s="272"/>
      <x:c r="E149" s="272"/>
      <x:c r="F149" s="272"/>
      <x:c r="G149" s="272"/>
      <x:c r="H149" s="272"/>
      <x:c r="I149" s="272"/>
      <x:c r="J149" s="272"/>
      <x:c r="K149" s="272"/>
      <x:c r="L149" s="272"/>
      <x:c r="M149" s="272"/>
      <x:c r="N149" s="272"/>
      <x:c r="O149" s="272"/>
      <x:c r="P149" s="272"/>
      <x:c r="Q149" s="272"/>
      <x:c r="R149" s="272"/>
      <x:c r="S149" s="272"/>
      <x:c r="T149" s="272"/>
      <x:c r="U149" s="272"/>
      <x:c r="V149" s="272"/>
      <x:c r="W149" s="272"/>
      <x:c r="X149" s="272"/>
      <x:c r="Y149" s="271"/>
      <x:c r="Z149" s="271"/>
      <x:c r="AA149" s="271"/>
      <x:c r="AB149" s="271"/>
      <x:c r="AC149" s="271"/>
      <x:c r="AD149" s="271"/>
      <x:c r="AE149" s="271"/>
      <x:c r="AF149" s="271"/>
      <x:c r="AG149" s="271"/>
    </x:row>
    <x:row r="150">
      <x:c r="A150" s="272"/>
      <x:c r="B150" s="272"/>
      <x:c r="C150" s="272"/>
      <x:c r="D150" s="272"/>
      <x:c r="E150" s="272"/>
      <x:c r="F150" s="272"/>
      <x:c r="G150" s="272"/>
      <x:c r="H150" s="272"/>
      <x:c r="I150" s="272"/>
      <x:c r="J150" s="272"/>
      <x:c r="K150" s="272"/>
      <x:c r="L150" s="272"/>
      <x:c r="M150" s="272"/>
      <x:c r="N150" s="272"/>
      <x:c r="O150" s="272"/>
      <x:c r="P150" s="272"/>
      <x:c r="Q150" s="272"/>
      <x:c r="R150" s="272"/>
      <x:c r="S150" s="272"/>
      <x:c r="T150" s="272"/>
      <x:c r="U150" s="272"/>
      <x:c r="V150" s="272"/>
      <x:c r="W150" s="272"/>
      <x:c r="X150" s="272"/>
      <x:c r="Y150" s="271"/>
      <x:c r="Z150" s="271"/>
      <x:c r="AA150" s="271"/>
      <x:c r="AB150" s="271"/>
      <x:c r="AC150" s="271"/>
      <x:c r="AD150" s="271"/>
      <x:c r="AE150" s="271"/>
      <x:c r="AF150" s="271"/>
      <x:c r="AG150" s="271"/>
    </x:row>
    <x:row r="151">
      <x:c r="A151" s="272"/>
      <x:c r="B151" s="272"/>
      <x:c r="C151" s="272"/>
      <x:c r="D151" s="272"/>
      <x:c r="E151" s="272"/>
      <x:c r="F151" s="272"/>
      <x:c r="G151" s="272"/>
      <x:c r="H151" s="272"/>
      <x:c r="I151" s="272"/>
      <x:c r="J151" s="272"/>
      <x:c r="K151" s="272"/>
      <x:c r="L151" s="272"/>
      <x:c r="M151" s="272"/>
      <x:c r="N151" s="272"/>
      <x:c r="O151" s="272"/>
      <x:c r="P151" s="272"/>
      <x:c r="Q151" s="272"/>
      <x:c r="R151" s="272"/>
      <x:c r="S151" s="272"/>
      <x:c r="T151" s="272"/>
      <x:c r="U151" s="272"/>
      <x:c r="V151" s="272"/>
      <x:c r="W151" s="272"/>
      <x:c r="X151" s="272"/>
      <x:c r="Y151" s="271"/>
      <x:c r="Z151" s="271"/>
      <x:c r="AA151" s="271"/>
      <x:c r="AB151" s="271"/>
      <x:c r="AC151" s="271"/>
      <x:c r="AD151" s="271"/>
      <x:c r="AE151" s="271"/>
      <x:c r="AF151" s="271"/>
      <x:c r="AG151" s="271"/>
    </x:row>
    <x:row r="152">
      <x:c r="A152" s="272"/>
      <x:c r="B152" s="272"/>
      <x:c r="C152" s="272"/>
      <x:c r="D152" s="272"/>
      <x:c r="E152" s="272"/>
      <x:c r="F152" s="272"/>
      <x:c r="G152" s="272"/>
      <x:c r="H152" s="272"/>
      <x:c r="I152" s="272"/>
      <x:c r="J152" s="272"/>
      <x:c r="K152" s="272"/>
      <x:c r="L152" s="272"/>
      <x:c r="M152" s="272"/>
      <x:c r="N152" s="272"/>
      <x:c r="O152" s="272"/>
      <x:c r="P152" s="272"/>
      <x:c r="Q152" s="272"/>
      <x:c r="R152" s="272"/>
      <x:c r="S152" s="272"/>
      <x:c r="T152" s="272"/>
      <x:c r="U152" s="272"/>
      <x:c r="V152" s="272"/>
      <x:c r="W152" s="272"/>
      <x:c r="X152" s="272"/>
      <x:c r="Y152" s="271"/>
      <x:c r="Z152" s="271"/>
      <x:c r="AA152" s="271"/>
      <x:c r="AB152" s="271"/>
      <x:c r="AC152" s="271"/>
      <x:c r="AD152" s="271"/>
      <x:c r="AE152" s="271"/>
      <x:c r="AF152" s="271"/>
      <x:c r="AG152" s="271"/>
    </x:row>
    <x:row r="153">
      <x:c r="A153" s="272"/>
      <x:c r="B153" s="272"/>
      <x:c r="C153" s="272"/>
      <x:c r="D153" s="272"/>
      <x:c r="E153" s="272"/>
      <x:c r="F153" s="272"/>
      <x:c r="G153" s="272"/>
      <x:c r="H153" s="272"/>
      <x:c r="I153" s="272"/>
      <x:c r="J153" s="272"/>
      <x:c r="K153" s="272"/>
      <x:c r="L153" s="272"/>
      <x:c r="M153" s="272"/>
      <x:c r="N153" s="272"/>
      <x:c r="O153" s="272"/>
      <x:c r="P153" s="272"/>
      <x:c r="Q153" s="272"/>
      <x:c r="R153" s="272"/>
      <x:c r="S153" s="272"/>
      <x:c r="T153" s="272"/>
      <x:c r="U153" s="272"/>
      <x:c r="V153" s="272"/>
      <x:c r="W153" s="272"/>
      <x:c r="X153" s="272"/>
      <x:c r="Y153" s="271"/>
      <x:c r="Z153" s="271"/>
      <x:c r="AA153" s="271"/>
      <x:c r="AB153" s="271"/>
      <x:c r="AC153" s="271"/>
      <x:c r="AD153" s="271"/>
      <x:c r="AE153" s="271"/>
      <x:c r="AF153" s="271"/>
      <x:c r="AG153" s="271"/>
    </x:row>
    <x:row r="154">
      <x:c r="A154" s="272"/>
      <x:c r="B154" s="272"/>
      <x:c r="C154" s="272"/>
      <x:c r="D154" s="272"/>
      <x:c r="E154" s="272"/>
      <x:c r="F154" s="272"/>
      <x:c r="G154" s="272"/>
      <x:c r="H154" s="272"/>
      <x:c r="I154" s="272"/>
      <x:c r="J154" s="272"/>
      <x:c r="K154" s="272"/>
      <x:c r="L154" s="272"/>
      <x:c r="M154" s="272"/>
      <x:c r="N154" s="272"/>
      <x:c r="O154" s="272"/>
      <x:c r="P154" s="272"/>
      <x:c r="Q154" s="272"/>
      <x:c r="R154" s="272"/>
      <x:c r="S154" s="272"/>
      <x:c r="T154" s="272"/>
      <x:c r="U154" s="272"/>
      <x:c r="V154" s="272"/>
      <x:c r="W154" s="272"/>
      <x:c r="X154" s="272"/>
      <x:c r="Y154" s="271"/>
      <x:c r="Z154" s="271"/>
      <x:c r="AA154" s="271"/>
      <x:c r="AB154" s="271"/>
      <x:c r="AC154" s="271"/>
      <x:c r="AD154" s="271"/>
      <x:c r="AE154" s="271"/>
      <x:c r="AF154" s="271"/>
      <x:c r="AG154" s="271"/>
    </x:row>
    <x:row r="155">
      <x:c r="A155" s="272"/>
      <x:c r="B155" s="272"/>
      <x:c r="C155" s="272"/>
      <x:c r="D155" s="272"/>
      <x:c r="E155" s="272"/>
      <x:c r="F155" s="272"/>
      <x:c r="G155" s="272"/>
      <x:c r="H155" s="272"/>
      <x:c r="I155" s="272"/>
      <x:c r="J155" s="272"/>
      <x:c r="K155" s="272"/>
      <x:c r="L155" s="272"/>
      <x:c r="M155" s="272"/>
      <x:c r="N155" s="272"/>
      <x:c r="O155" s="272"/>
      <x:c r="P155" s="272"/>
      <x:c r="Q155" s="272"/>
      <x:c r="R155" s="272"/>
      <x:c r="S155" s="272"/>
      <x:c r="T155" s="272"/>
      <x:c r="U155" s="272"/>
      <x:c r="V155" s="272"/>
      <x:c r="W155" s="272"/>
      <x:c r="X155" s="272"/>
      <x:c r="Y155" s="271"/>
      <x:c r="Z155" s="271"/>
      <x:c r="AA155" s="271"/>
      <x:c r="AB155" s="271"/>
      <x:c r="AC155" s="271"/>
      <x:c r="AD155" s="271"/>
      <x:c r="AE155" s="271"/>
      <x:c r="AF155" s="271"/>
      <x:c r="AG155" s="271"/>
    </x:row>
    <x:row r="156">
      <x:c r="A156" s="272"/>
      <x:c r="B156" s="272"/>
      <x:c r="C156" s="272"/>
      <x:c r="D156" s="272"/>
      <x:c r="E156" s="272"/>
      <x:c r="F156" s="272"/>
      <x:c r="G156" s="272"/>
      <x:c r="H156" s="272"/>
      <x:c r="I156" s="272"/>
      <x:c r="J156" s="272"/>
      <x:c r="K156" s="272"/>
      <x:c r="L156" s="272"/>
      <x:c r="M156" s="272"/>
      <x:c r="N156" s="272"/>
      <x:c r="O156" s="272"/>
      <x:c r="P156" s="272"/>
      <x:c r="Q156" s="272"/>
      <x:c r="R156" s="272"/>
      <x:c r="S156" s="272"/>
      <x:c r="T156" s="272"/>
      <x:c r="U156" s="272"/>
      <x:c r="V156" s="272"/>
      <x:c r="W156" s="272"/>
      <x:c r="X156" s="272"/>
      <x:c r="Y156" s="271"/>
      <x:c r="Z156" s="271"/>
      <x:c r="AA156" s="271"/>
      <x:c r="AB156" s="271"/>
      <x:c r="AC156" s="271"/>
      <x:c r="AD156" s="271"/>
      <x:c r="AE156" s="271"/>
      <x:c r="AF156" s="271"/>
      <x:c r="AG156" s="271"/>
    </x:row>
    <x:row r="157">
      <x:c r="A157" s="272"/>
      <x:c r="B157" s="272"/>
      <x:c r="C157" s="272"/>
      <x:c r="D157" s="272"/>
      <x:c r="E157" s="272"/>
      <x:c r="F157" s="272"/>
      <x:c r="G157" s="272"/>
      <x:c r="H157" s="272"/>
      <x:c r="I157" s="272"/>
      <x:c r="J157" s="272"/>
      <x:c r="K157" s="272"/>
      <x:c r="L157" s="272"/>
      <x:c r="M157" s="272"/>
      <x:c r="N157" s="272"/>
      <x:c r="O157" s="272"/>
      <x:c r="P157" s="272"/>
      <x:c r="Q157" s="272"/>
      <x:c r="R157" s="272"/>
      <x:c r="S157" s="272"/>
      <x:c r="T157" s="272"/>
      <x:c r="U157" s="272"/>
      <x:c r="V157" s="272"/>
      <x:c r="W157" s="272"/>
      <x:c r="X157" s="272"/>
      <x:c r="Y157" s="271"/>
      <x:c r="Z157" s="271"/>
      <x:c r="AA157" s="271"/>
      <x:c r="AB157" s="271"/>
      <x:c r="AC157" s="271"/>
      <x:c r="AD157" s="271"/>
      <x:c r="AE157" s="271"/>
      <x:c r="AF157" s="271"/>
      <x:c r="AG157" s="271"/>
    </x:row>
    <x:row r="158">
      <x:c r="A158" s="272"/>
      <x:c r="B158" s="272"/>
      <x:c r="C158" s="272"/>
      <x:c r="D158" s="272"/>
      <x:c r="E158" s="272"/>
      <x:c r="F158" s="272"/>
      <x:c r="G158" s="272"/>
      <x:c r="H158" s="272"/>
      <x:c r="I158" s="272"/>
      <x:c r="J158" s="272"/>
      <x:c r="K158" s="272"/>
      <x:c r="L158" s="272"/>
      <x:c r="M158" s="272"/>
      <x:c r="N158" s="272"/>
      <x:c r="O158" s="272"/>
      <x:c r="P158" s="272"/>
      <x:c r="Q158" s="272"/>
      <x:c r="R158" s="272"/>
      <x:c r="S158" s="272"/>
      <x:c r="T158" s="272"/>
      <x:c r="U158" s="272"/>
      <x:c r="V158" s="272"/>
      <x:c r="W158" s="272"/>
      <x:c r="X158" s="272"/>
      <x:c r="Y158" s="271"/>
      <x:c r="Z158" s="271"/>
      <x:c r="AA158" s="271"/>
      <x:c r="AB158" s="271"/>
      <x:c r="AC158" s="271"/>
      <x:c r="AD158" s="271"/>
      <x:c r="AE158" s="271"/>
      <x:c r="AF158" s="271"/>
      <x:c r="AG158" s="271"/>
    </x:row>
    <x:row r="159">
      <x:c r="A159" s="272"/>
      <x:c r="B159" s="272"/>
      <x:c r="C159" s="272"/>
      <x:c r="D159" s="272"/>
      <x:c r="E159" s="272"/>
      <x:c r="F159" s="272"/>
      <x:c r="G159" s="272"/>
      <x:c r="H159" s="272"/>
      <x:c r="I159" s="272"/>
      <x:c r="J159" s="272"/>
      <x:c r="K159" s="272"/>
      <x:c r="L159" s="272"/>
      <x:c r="M159" s="272"/>
      <x:c r="N159" s="272"/>
      <x:c r="O159" s="272"/>
      <x:c r="P159" s="272"/>
      <x:c r="Q159" s="272"/>
      <x:c r="R159" s="272"/>
      <x:c r="S159" s="272"/>
      <x:c r="T159" s="272"/>
      <x:c r="U159" s="272"/>
      <x:c r="V159" s="272"/>
      <x:c r="W159" s="272"/>
      <x:c r="X159" s="272"/>
      <x:c r="Y159" s="271"/>
      <x:c r="Z159" s="271"/>
      <x:c r="AA159" s="271"/>
      <x:c r="AB159" s="271"/>
      <x:c r="AC159" s="271"/>
      <x:c r="AD159" s="271"/>
      <x:c r="AE159" s="271"/>
      <x:c r="AF159" s="271"/>
      <x:c r="AG159" s="271"/>
    </x:row>
    <x:row r="160">
      <x:c r="A160" s="272"/>
      <x:c r="B160" s="272"/>
      <x:c r="C160" s="272"/>
      <x:c r="D160" s="272"/>
      <x:c r="E160" s="272"/>
      <x:c r="F160" s="272"/>
      <x:c r="G160" s="272"/>
      <x:c r="H160" s="272"/>
      <x:c r="I160" s="272"/>
      <x:c r="J160" s="272"/>
      <x:c r="K160" s="272"/>
      <x:c r="L160" s="272"/>
      <x:c r="M160" s="272"/>
      <x:c r="N160" s="272"/>
      <x:c r="O160" s="272"/>
      <x:c r="P160" s="272"/>
      <x:c r="Q160" s="272"/>
      <x:c r="R160" s="272"/>
      <x:c r="S160" s="272"/>
      <x:c r="T160" s="272"/>
      <x:c r="U160" s="272"/>
      <x:c r="V160" s="272"/>
      <x:c r="W160" s="272"/>
      <x:c r="X160" s="272"/>
      <x:c r="Y160" s="271"/>
      <x:c r="Z160" s="271"/>
      <x:c r="AA160" s="271"/>
      <x:c r="AB160" s="271"/>
      <x:c r="AC160" s="271"/>
      <x:c r="AD160" s="271"/>
      <x:c r="AE160" s="271"/>
      <x:c r="AF160" s="271"/>
      <x:c r="AG160" s="271"/>
    </x:row>
    <x:row r="161">
      <x:c r="A161" s="272"/>
      <x:c r="B161" s="272"/>
      <x:c r="C161" s="272"/>
      <x:c r="D161" s="272"/>
      <x:c r="E161" s="272"/>
      <x:c r="F161" s="272"/>
      <x:c r="G161" s="272"/>
      <x:c r="H161" s="272"/>
      <x:c r="I161" s="272"/>
      <x:c r="J161" s="272"/>
      <x:c r="K161" s="272"/>
      <x:c r="L161" s="272"/>
      <x:c r="M161" s="272"/>
      <x:c r="N161" s="272"/>
      <x:c r="O161" s="272"/>
      <x:c r="P161" s="272"/>
      <x:c r="Q161" s="272"/>
      <x:c r="R161" s="272"/>
      <x:c r="S161" s="272"/>
      <x:c r="T161" s="272"/>
      <x:c r="U161" s="272"/>
      <x:c r="V161" s="272"/>
      <x:c r="W161" s="272"/>
      <x:c r="X161" s="272"/>
      <x:c r="Y161" s="271"/>
      <x:c r="Z161" s="271"/>
      <x:c r="AA161" s="271"/>
      <x:c r="AB161" s="271"/>
      <x:c r="AC161" s="271"/>
      <x:c r="AD161" s="271"/>
      <x:c r="AE161" s="271"/>
      <x:c r="AF161" s="271"/>
      <x:c r="AG161" s="271"/>
    </x:row>
    <x:row r="162">
      <x:c r="A162" s="272"/>
      <x:c r="B162" s="272"/>
      <x:c r="C162" s="272"/>
      <x:c r="D162" s="272"/>
      <x:c r="E162" s="272"/>
      <x:c r="F162" s="272"/>
      <x:c r="G162" s="272"/>
      <x:c r="H162" s="272"/>
      <x:c r="I162" s="272"/>
      <x:c r="J162" s="272"/>
      <x:c r="K162" s="272"/>
      <x:c r="L162" s="272"/>
      <x:c r="M162" s="272"/>
      <x:c r="N162" s="272"/>
      <x:c r="O162" s="272"/>
      <x:c r="P162" s="272"/>
      <x:c r="Q162" s="272"/>
      <x:c r="R162" s="272"/>
      <x:c r="S162" s="272"/>
      <x:c r="T162" s="272"/>
      <x:c r="U162" s="272"/>
      <x:c r="V162" s="272"/>
      <x:c r="W162" s="272"/>
      <x:c r="X162" s="272"/>
      <x:c r="Y162" s="271"/>
      <x:c r="Z162" s="271"/>
      <x:c r="AA162" s="271"/>
      <x:c r="AB162" s="271"/>
      <x:c r="AC162" s="271"/>
      <x:c r="AD162" s="271"/>
      <x:c r="AE162" s="271"/>
      <x:c r="AF162" s="271"/>
      <x:c r="AG162" s="271"/>
    </x:row>
    <x:row r="163">
      <x:c r="A163" s="272"/>
      <x:c r="B163" s="272"/>
      <x:c r="C163" s="272"/>
      <x:c r="D163" s="272"/>
      <x:c r="E163" s="272"/>
      <x:c r="F163" s="272"/>
      <x:c r="G163" s="272"/>
      <x:c r="H163" s="272"/>
      <x:c r="I163" s="272"/>
      <x:c r="J163" s="272"/>
      <x:c r="K163" s="272"/>
      <x:c r="L163" s="272"/>
      <x:c r="M163" s="272"/>
      <x:c r="N163" s="272"/>
      <x:c r="O163" s="272"/>
      <x:c r="P163" s="272"/>
      <x:c r="Q163" s="272"/>
      <x:c r="R163" s="272"/>
      <x:c r="S163" s="272"/>
      <x:c r="T163" s="272"/>
      <x:c r="U163" s="272"/>
      <x:c r="V163" s="272"/>
      <x:c r="W163" s="272"/>
      <x:c r="X163" s="272"/>
      <x:c r="Y163" s="271"/>
      <x:c r="Z163" s="271"/>
      <x:c r="AA163" s="271"/>
      <x:c r="AB163" s="271"/>
      <x:c r="AC163" s="271"/>
      <x:c r="AD163" s="271"/>
      <x:c r="AE163" s="271"/>
      <x:c r="AF163" s="271"/>
      <x:c r="AG163" s="271"/>
    </x:row>
    <x:row r="164">
      <x:c r="A164" s="272"/>
      <x:c r="B164" s="272"/>
      <x:c r="C164" s="272"/>
      <x:c r="D164" s="272"/>
      <x:c r="E164" s="272"/>
      <x:c r="F164" s="272"/>
      <x:c r="G164" s="272"/>
      <x:c r="H164" s="272"/>
      <x:c r="I164" s="272"/>
      <x:c r="J164" s="272"/>
      <x:c r="K164" s="272"/>
      <x:c r="L164" s="272"/>
      <x:c r="M164" s="272"/>
      <x:c r="N164" s="272"/>
      <x:c r="O164" s="272"/>
      <x:c r="P164" s="272"/>
      <x:c r="Q164" s="272"/>
      <x:c r="R164" s="272"/>
      <x:c r="S164" s="272"/>
      <x:c r="T164" s="272"/>
      <x:c r="U164" s="272"/>
      <x:c r="V164" s="272"/>
      <x:c r="W164" s="272"/>
      <x:c r="X164" s="272"/>
      <x:c r="Y164" s="271"/>
      <x:c r="Z164" s="271"/>
      <x:c r="AA164" s="271"/>
      <x:c r="AB164" s="271"/>
      <x:c r="AC164" s="271"/>
      <x:c r="AD164" s="271"/>
      <x:c r="AE164" s="271"/>
      <x:c r="AF164" s="271"/>
      <x:c r="AG164" s="271"/>
    </x:row>
    <x:row r="165">
      <x:c r="A165" s="272"/>
      <x:c r="B165" s="272"/>
      <x:c r="C165" s="272"/>
      <x:c r="D165" s="272"/>
      <x:c r="E165" s="272"/>
      <x:c r="F165" s="272"/>
      <x:c r="G165" s="272"/>
      <x:c r="H165" s="272"/>
      <x:c r="I165" s="272"/>
      <x:c r="J165" s="272"/>
      <x:c r="K165" s="272"/>
      <x:c r="L165" s="272"/>
      <x:c r="M165" s="272"/>
      <x:c r="N165" s="272"/>
      <x:c r="O165" s="272"/>
      <x:c r="P165" s="272"/>
      <x:c r="Q165" s="272"/>
      <x:c r="R165" s="272"/>
      <x:c r="S165" s="272"/>
      <x:c r="T165" s="272"/>
      <x:c r="U165" s="272"/>
      <x:c r="V165" s="272"/>
      <x:c r="W165" s="272"/>
      <x:c r="X165" s="272"/>
      <x:c r="Y165" s="271"/>
      <x:c r="Z165" s="271"/>
      <x:c r="AA165" s="271"/>
      <x:c r="AB165" s="271"/>
      <x:c r="AC165" s="271"/>
      <x:c r="AD165" s="271"/>
      <x:c r="AE165" s="271"/>
      <x:c r="AF165" s="271"/>
      <x:c r="AG165" s="271"/>
    </x:row>
    <x:row r="166">
      <x:c r="A166" s="272"/>
      <x:c r="B166" s="272"/>
      <x:c r="C166" s="272"/>
      <x:c r="D166" s="272"/>
      <x:c r="E166" s="272"/>
      <x:c r="F166" s="272"/>
      <x:c r="G166" s="272"/>
      <x:c r="H166" s="272"/>
      <x:c r="I166" s="272"/>
      <x:c r="J166" s="272"/>
      <x:c r="K166" s="272"/>
      <x:c r="L166" s="272"/>
      <x:c r="M166" s="272"/>
      <x:c r="N166" s="272"/>
      <x:c r="O166" s="272"/>
      <x:c r="P166" s="272"/>
      <x:c r="Q166" s="272"/>
      <x:c r="R166" s="272"/>
      <x:c r="S166" s="272"/>
      <x:c r="T166" s="272"/>
      <x:c r="U166" s="272"/>
      <x:c r="V166" s="272"/>
      <x:c r="W166" s="272"/>
      <x:c r="X166" s="272"/>
      <x:c r="Y166" s="271"/>
      <x:c r="Z166" s="271"/>
      <x:c r="AA166" s="271"/>
      <x:c r="AB166" s="271"/>
      <x:c r="AC166" s="271"/>
      <x:c r="AD166" s="271"/>
      <x:c r="AE166" s="271"/>
      <x:c r="AF166" s="271"/>
      <x:c r="AG166" s="271"/>
    </x:row>
    <x:row r="167">
      <x:c r="A167" s="272"/>
      <x:c r="B167" s="272"/>
      <x:c r="C167" s="272"/>
      <x:c r="D167" s="272"/>
      <x:c r="E167" s="272"/>
      <x:c r="F167" s="272"/>
      <x:c r="G167" s="272"/>
      <x:c r="H167" s="272"/>
      <x:c r="I167" s="272"/>
      <x:c r="J167" s="272"/>
      <x:c r="K167" s="272"/>
      <x:c r="L167" s="272"/>
      <x:c r="M167" s="272"/>
      <x:c r="N167" s="272"/>
      <x:c r="O167" s="272"/>
      <x:c r="P167" s="272"/>
      <x:c r="Q167" s="272"/>
      <x:c r="R167" s="272"/>
      <x:c r="S167" s="272"/>
      <x:c r="T167" s="272"/>
      <x:c r="U167" s="272"/>
      <x:c r="V167" s="272"/>
      <x:c r="W167" s="272"/>
      <x:c r="X167" s="272"/>
      <x:c r="Y167" s="271"/>
      <x:c r="Z167" s="271"/>
      <x:c r="AA167" s="271"/>
      <x:c r="AB167" s="271"/>
      <x:c r="AC167" s="271"/>
      <x:c r="AD167" s="271"/>
      <x:c r="AE167" s="271"/>
      <x:c r="AF167" s="271"/>
      <x:c r="AG167" s="271"/>
    </x:row>
    <x:row r="168">
      <x:c r="A168" s="272"/>
      <x:c r="B168" s="272"/>
      <x:c r="C168" s="272"/>
      <x:c r="D168" s="272"/>
      <x:c r="E168" s="272"/>
      <x:c r="F168" s="272"/>
      <x:c r="G168" s="272"/>
      <x:c r="H168" s="272"/>
      <x:c r="I168" s="272"/>
      <x:c r="J168" s="272"/>
      <x:c r="K168" s="272"/>
      <x:c r="L168" s="272"/>
      <x:c r="M168" s="272"/>
      <x:c r="N168" s="272"/>
      <x:c r="O168" s="272"/>
      <x:c r="P168" s="272"/>
      <x:c r="Q168" s="272"/>
      <x:c r="R168" s="272"/>
      <x:c r="S168" s="272"/>
      <x:c r="T168" s="272"/>
      <x:c r="U168" s="272"/>
      <x:c r="V168" s="272"/>
      <x:c r="W168" s="272"/>
      <x:c r="X168" s="272"/>
      <x:c r="Y168" s="271"/>
      <x:c r="Z168" s="271"/>
      <x:c r="AA168" s="271"/>
      <x:c r="AB168" s="271"/>
      <x:c r="AC168" s="271"/>
      <x:c r="AD168" s="271"/>
      <x:c r="AE168" s="271"/>
      <x:c r="AF168" s="271"/>
      <x:c r="AG168" s="271"/>
    </x:row>
    <x:row r="169">
      <x:c r="A169" s="272"/>
      <x:c r="B169" s="272"/>
      <x:c r="C169" s="272"/>
      <x:c r="D169" s="272"/>
      <x:c r="E169" s="272"/>
      <x:c r="F169" s="272"/>
      <x:c r="G169" s="272"/>
      <x:c r="H169" s="272"/>
      <x:c r="I169" s="272"/>
      <x:c r="J169" s="272"/>
      <x:c r="K169" s="272"/>
      <x:c r="L169" s="272"/>
      <x:c r="M169" s="272"/>
      <x:c r="N169" s="272"/>
      <x:c r="O169" s="272"/>
      <x:c r="P169" s="272"/>
      <x:c r="Q169" s="272"/>
      <x:c r="R169" s="272"/>
      <x:c r="S169" s="272"/>
      <x:c r="T169" s="272"/>
      <x:c r="U169" s="272"/>
      <x:c r="V169" s="272"/>
      <x:c r="W169" s="272"/>
      <x:c r="X169" s="272"/>
      <x:c r="Y169" s="271"/>
      <x:c r="Z169" s="271"/>
      <x:c r="AA169" s="271"/>
      <x:c r="AB169" s="271"/>
      <x:c r="AC169" s="271"/>
      <x:c r="AD169" s="271"/>
      <x:c r="AE169" s="271"/>
      <x:c r="AF169" s="271"/>
      <x:c r="AG169" s="271"/>
    </x:row>
    <x:row r="170">
      <x:c r="A170" s="272"/>
      <x:c r="B170" s="272"/>
      <x:c r="C170" s="272"/>
      <x:c r="D170" s="272"/>
      <x:c r="E170" s="272"/>
      <x:c r="F170" s="272"/>
      <x:c r="G170" s="272"/>
      <x:c r="H170" s="272"/>
      <x:c r="I170" s="272"/>
      <x:c r="J170" s="272"/>
      <x:c r="K170" s="272"/>
      <x:c r="L170" s="272"/>
      <x:c r="M170" s="272"/>
      <x:c r="N170" s="272"/>
      <x:c r="O170" s="272"/>
      <x:c r="P170" s="272"/>
      <x:c r="Q170" s="272"/>
      <x:c r="R170" s="272"/>
      <x:c r="S170" s="272"/>
      <x:c r="T170" s="272"/>
      <x:c r="U170" s="272"/>
      <x:c r="V170" s="272"/>
      <x:c r="W170" s="272"/>
      <x:c r="X170" s="272"/>
      <x:c r="Y170" s="271"/>
      <x:c r="Z170" s="271"/>
      <x:c r="AA170" s="271"/>
      <x:c r="AB170" s="271"/>
      <x:c r="AC170" s="271"/>
      <x:c r="AD170" s="271"/>
      <x:c r="AE170" s="271"/>
      <x:c r="AF170" s="271"/>
      <x:c r="AG170" s="271"/>
    </x:row>
    <x:row r="171">
      <x:c r="A171" s="272"/>
      <x:c r="B171" s="272"/>
      <x:c r="C171" s="272"/>
      <x:c r="D171" s="272"/>
      <x:c r="E171" s="272"/>
      <x:c r="F171" s="272"/>
      <x:c r="G171" s="272"/>
      <x:c r="H171" s="272"/>
      <x:c r="I171" s="272"/>
      <x:c r="J171" s="272"/>
      <x:c r="K171" s="272"/>
      <x:c r="L171" s="272"/>
      <x:c r="M171" s="272"/>
      <x:c r="N171" s="272"/>
      <x:c r="O171" s="272"/>
      <x:c r="P171" s="272"/>
      <x:c r="Q171" s="272"/>
      <x:c r="R171" s="272"/>
      <x:c r="S171" s="272"/>
      <x:c r="T171" s="272"/>
      <x:c r="U171" s="272"/>
      <x:c r="V171" s="272"/>
      <x:c r="W171" s="272"/>
      <x:c r="X171" s="272"/>
      <x:c r="Y171" s="271"/>
      <x:c r="Z171" s="271"/>
      <x:c r="AA171" s="271"/>
      <x:c r="AB171" s="271"/>
      <x:c r="AC171" s="271"/>
      <x:c r="AD171" s="271"/>
      <x:c r="AE171" s="271"/>
      <x:c r="AF171" s="271"/>
      <x:c r="AG171" s="271"/>
    </x:row>
    <x:row r="172">
      <x:c r="A172" s="272"/>
      <x:c r="B172" s="272"/>
      <x:c r="C172" s="272"/>
      <x:c r="D172" s="272"/>
      <x:c r="E172" s="272"/>
      <x:c r="F172" s="272"/>
      <x:c r="G172" s="272"/>
      <x:c r="H172" s="272"/>
      <x:c r="I172" s="272"/>
      <x:c r="J172" s="272"/>
      <x:c r="K172" s="272"/>
      <x:c r="L172" s="272"/>
      <x:c r="M172" s="272"/>
      <x:c r="N172" s="272"/>
      <x:c r="O172" s="272"/>
      <x:c r="P172" s="272"/>
      <x:c r="Q172" s="272"/>
      <x:c r="R172" s="272"/>
      <x:c r="S172" s="272"/>
      <x:c r="T172" s="272"/>
      <x:c r="U172" s="272"/>
      <x:c r="V172" s="272"/>
      <x:c r="W172" s="272"/>
      <x:c r="X172" s="272"/>
      <x:c r="Y172" s="271"/>
      <x:c r="Z172" s="271"/>
      <x:c r="AA172" s="271"/>
      <x:c r="AB172" s="271"/>
      <x:c r="AC172" s="271"/>
      <x:c r="AD172" s="271"/>
      <x:c r="AE172" s="271"/>
      <x:c r="AF172" s="271"/>
      <x:c r="AG172" s="271"/>
    </x:row>
    <x:row r="173">
      <x:c r="A173" s="272"/>
      <x:c r="B173" s="272"/>
      <x:c r="C173" s="272"/>
      <x:c r="D173" s="272"/>
      <x:c r="E173" s="272"/>
      <x:c r="F173" s="272"/>
      <x:c r="G173" s="272"/>
      <x:c r="H173" s="272"/>
      <x:c r="I173" s="272"/>
      <x:c r="J173" s="272"/>
      <x:c r="K173" s="272"/>
      <x:c r="L173" s="272"/>
      <x:c r="M173" s="272"/>
      <x:c r="N173" s="272"/>
      <x:c r="O173" s="272"/>
      <x:c r="P173" s="272"/>
      <x:c r="Q173" s="272"/>
      <x:c r="R173" s="272"/>
      <x:c r="S173" s="272"/>
      <x:c r="T173" s="272"/>
      <x:c r="U173" s="272"/>
      <x:c r="V173" s="272"/>
      <x:c r="W173" s="272"/>
      <x:c r="X173" s="272"/>
      <x:c r="Y173" s="271"/>
      <x:c r="Z173" s="271"/>
      <x:c r="AA173" s="271"/>
      <x:c r="AB173" s="271"/>
      <x:c r="AC173" s="271"/>
      <x:c r="AD173" s="271"/>
      <x:c r="AE173" s="271"/>
      <x:c r="AF173" s="271"/>
      <x:c r="AG173" s="271"/>
    </x:row>
    <x:row r="174">
      <x:c r="A174" s="272"/>
      <x:c r="B174" s="272"/>
      <x:c r="C174" s="272"/>
      <x:c r="D174" s="272"/>
      <x:c r="E174" s="272"/>
      <x:c r="F174" s="272"/>
      <x:c r="G174" s="272"/>
      <x:c r="H174" s="272"/>
      <x:c r="I174" s="272"/>
      <x:c r="J174" s="272"/>
      <x:c r="K174" s="272"/>
      <x:c r="L174" s="272"/>
      <x:c r="M174" s="272"/>
      <x:c r="N174" s="272"/>
      <x:c r="O174" s="272"/>
      <x:c r="P174" s="272"/>
      <x:c r="Q174" s="272"/>
      <x:c r="R174" s="272"/>
      <x:c r="S174" s="272"/>
      <x:c r="T174" s="272"/>
      <x:c r="U174" s="272"/>
      <x:c r="V174" s="272"/>
      <x:c r="W174" s="272"/>
      <x:c r="X174" s="272"/>
      <x:c r="Y174" s="271"/>
      <x:c r="Z174" s="271"/>
      <x:c r="AA174" s="271"/>
      <x:c r="AB174" s="271"/>
      <x:c r="AC174" s="271"/>
      <x:c r="AD174" s="271"/>
      <x:c r="AE174" s="271"/>
      <x:c r="AF174" s="271"/>
      <x:c r="AG174" s="271"/>
    </x:row>
    <x:row r="175">
      <x:c r="A175" s="272"/>
      <x:c r="B175" s="272"/>
      <x:c r="C175" s="272"/>
      <x:c r="D175" s="272"/>
      <x:c r="E175" s="272"/>
      <x:c r="F175" s="272"/>
      <x:c r="G175" s="272"/>
      <x:c r="H175" s="272"/>
      <x:c r="I175" s="272"/>
      <x:c r="J175" s="272"/>
      <x:c r="K175" s="272"/>
      <x:c r="L175" s="272"/>
      <x:c r="M175" s="272"/>
      <x:c r="N175" s="272"/>
      <x:c r="O175" s="272"/>
      <x:c r="P175" s="272"/>
      <x:c r="Q175" s="272"/>
      <x:c r="R175" s="272"/>
      <x:c r="S175" s="272"/>
      <x:c r="T175" s="272"/>
      <x:c r="U175" s="272"/>
      <x:c r="V175" s="272"/>
      <x:c r="W175" s="272"/>
      <x:c r="X175" s="272"/>
      <x:c r="Y175" s="271"/>
      <x:c r="Z175" s="271"/>
      <x:c r="AA175" s="271"/>
      <x:c r="AB175" s="271"/>
      <x:c r="AC175" s="271"/>
      <x:c r="AD175" s="271"/>
      <x:c r="AE175" s="271"/>
      <x:c r="AF175" s="271"/>
      <x:c r="AG175" s="271"/>
    </x:row>
    <x:row r="176">
      <x:c r="A176" s="272"/>
      <x:c r="B176" s="272"/>
      <x:c r="C176" s="272"/>
      <x:c r="D176" s="272"/>
      <x:c r="E176" s="272"/>
      <x:c r="F176" s="272"/>
      <x:c r="G176" s="272"/>
      <x:c r="H176" s="272"/>
      <x:c r="I176" s="272"/>
      <x:c r="J176" s="272"/>
      <x:c r="K176" s="272"/>
      <x:c r="L176" s="272"/>
      <x:c r="M176" s="272"/>
      <x:c r="N176" s="272"/>
      <x:c r="O176" s="272"/>
      <x:c r="P176" s="272"/>
      <x:c r="Q176" s="272"/>
      <x:c r="R176" s="272"/>
      <x:c r="S176" s="272"/>
      <x:c r="T176" s="272"/>
      <x:c r="U176" s="272"/>
      <x:c r="V176" s="272"/>
      <x:c r="W176" s="272"/>
      <x:c r="X176" s="272"/>
      <x:c r="Y176" s="271"/>
      <x:c r="Z176" s="271"/>
      <x:c r="AA176" s="271"/>
      <x:c r="AB176" s="271"/>
      <x:c r="AC176" s="271"/>
      <x:c r="AD176" s="271"/>
      <x:c r="AE176" s="271"/>
      <x:c r="AF176" s="271"/>
      <x:c r="AG176" s="271"/>
    </x:row>
    <x:row r="177">
      <x:c r="A177" s="272"/>
      <x:c r="B177" s="272"/>
      <x:c r="C177" s="272"/>
      <x:c r="D177" s="272"/>
      <x:c r="E177" s="272"/>
      <x:c r="F177" s="272"/>
      <x:c r="G177" s="272"/>
      <x:c r="H177" s="272"/>
      <x:c r="I177" s="272"/>
      <x:c r="J177" s="272"/>
      <x:c r="K177" s="272"/>
      <x:c r="L177" s="272"/>
      <x:c r="M177" s="272"/>
      <x:c r="N177" s="272"/>
      <x:c r="O177" s="272"/>
      <x:c r="P177" s="272"/>
      <x:c r="Q177" s="272"/>
      <x:c r="R177" s="272"/>
      <x:c r="S177" s="272"/>
      <x:c r="T177" s="272"/>
      <x:c r="U177" s="272"/>
      <x:c r="V177" s="272"/>
      <x:c r="W177" s="272"/>
      <x:c r="X177" s="272"/>
      <x:c r="Y177" s="271"/>
      <x:c r="Z177" s="271"/>
      <x:c r="AA177" s="271"/>
      <x:c r="AB177" s="271"/>
      <x:c r="AC177" s="271"/>
      <x:c r="AD177" s="271"/>
      <x:c r="AE177" s="271"/>
      <x:c r="AF177" s="271"/>
      <x:c r="AG177" s="271"/>
    </x:row>
    <x:row r="178">
      <x:c r="A178" s="272"/>
      <x:c r="B178" s="272"/>
      <x:c r="C178" s="272"/>
      <x:c r="D178" s="272"/>
      <x:c r="E178" s="272"/>
      <x:c r="F178" s="272"/>
      <x:c r="G178" s="272"/>
      <x:c r="H178" s="272"/>
      <x:c r="I178" s="272"/>
      <x:c r="J178" s="272"/>
      <x:c r="K178" s="272"/>
      <x:c r="L178" s="272"/>
      <x:c r="M178" s="272"/>
      <x:c r="N178" s="272"/>
      <x:c r="O178" s="272"/>
      <x:c r="P178" s="272"/>
      <x:c r="Q178" s="272"/>
      <x:c r="R178" s="272"/>
      <x:c r="S178" s="272"/>
      <x:c r="T178" s="272"/>
      <x:c r="U178" s="272"/>
      <x:c r="V178" s="272"/>
      <x:c r="W178" s="272"/>
      <x:c r="X178" s="272"/>
      <x:c r="Y178" s="271"/>
      <x:c r="Z178" s="271"/>
      <x:c r="AA178" s="271"/>
      <x:c r="AB178" s="271"/>
      <x:c r="AC178" s="271"/>
      <x:c r="AD178" s="271"/>
      <x:c r="AE178" s="271"/>
      <x:c r="AF178" s="271"/>
      <x:c r="AG178" s="271"/>
    </x:row>
    <x:row r="179">
      <x:c r="A179" s="272"/>
      <x:c r="B179" s="272"/>
      <x:c r="C179" s="272"/>
      <x:c r="D179" s="272"/>
      <x:c r="E179" s="272"/>
      <x:c r="F179" s="272"/>
      <x:c r="G179" s="272"/>
      <x:c r="H179" s="272"/>
      <x:c r="I179" s="272"/>
      <x:c r="J179" s="272"/>
      <x:c r="K179" s="272"/>
      <x:c r="L179" s="272"/>
      <x:c r="M179" s="272"/>
      <x:c r="N179" s="272"/>
      <x:c r="O179" s="272"/>
      <x:c r="P179" s="272"/>
      <x:c r="Q179" s="272"/>
      <x:c r="R179" s="272"/>
      <x:c r="S179" s="272"/>
      <x:c r="T179" s="272"/>
      <x:c r="U179" s="272"/>
      <x:c r="V179" s="272"/>
      <x:c r="W179" s="272"/>
      <x:c r="X179" s="272"/>
      <x:c r="Y179" s="271"/>
      <x:c r="Z179" s="271"/>
      <x:c r="AA179" s="271"/>
      <x:c r="AB179" s="271"/>
      <x:c r="AC179" s="271"/>
      <x:c r="AD179" s="271"/>
      <x:c r="AE179" s="271"/>
      <x:c r="AF179" s="271"/>
      <x:c r="AG179" s="271"/>
    </x:row>
    <x:row r="180">
      <x:c r="A180" s="272"/>
      <x:c r="B180" s="272"/>
      <x:c r="C180" s="272"/>
      <x:c r="D180" s="272"/>
      <x:c r="E180" s="272"/>
      <x:c r="F180" s="272"/>
      <x:c r="G180" s="272"/>
      <x:c r="H180" s="272"/>
      <x:c r="I180" s="272"/>
      <x:c r="J180" s="272"/>
      <x:c r="K180" s="272"/>
      <x:c r="L180" s="272"/>
      <x:c r="M180" s="272"/>
      <x:c r="N180" s="272"/>
      <x:c r="O180" s="272"/>
      <x:c r="P180" s="272"/>
      <x:c r="Q180" s="272"/>
      <x:c r="R180" s="272"/>
      <x:c r="S180" s="272"/>
      <x:c r="T180" s="272"/>
      <x:c r="U180" s="272"/>
      <x:c r="V180" s="272"/>
      <x:c r="W180" s="272"/>
      <x:c r="X180" s="272"/>
      <x:c r="Y180" s="271"/>
      <x:c r="Z180" s="271"/>
      <x:c r="AA180" s="271"/>
      <x:c r="AB180" s="271"/>
      <x:c r="AC180" s="271"/>
      <x:c r="AD180" s="271"/>
      <x:c r="AE180" s="271"/>
      <x:c r="AF180" s="271"/>
      <x:c r="AG180" s="271"/>
    </x:row>
    <x:row r="181">
      <x:c r="A181" s="272"/>
      <x:c r="B181" s="272"/>
      <x:c r="C181" s="272"/>
      <x:c r="D181" s="272"/>
      <x:c r="E181" s="272"/>
      <x:c r="F181" s="272"/>
      <x:c r="G181" s="272"/>
      <x:c r="H181" s="272"/>
      <x:c r="I181" s="272"/>
      <x:c r="J181" s="272"/>
      <x:c r="K181" s="272"/>
      <x:c r="L181" s="272"/>
      <x:c r="M181" s="272"/>
      <x:c r="N181" s="272"/>
      <x:c r="O181" s="272"/>
      <x:c r="P181" s="272"/>
      <x:c r="Q181" s="272"/>
      <x:c r="R181" s="272"/>
      <x:c r="S181" s="272"/>
      <x:c r="T181" s="272"/>
      <x:c r="U181" s="272"/>
      <x:c r="V181" s="272"/>
      <x:c r="W181" s="272"/>
      <x:c r="X181" s="272"/>
      <x:c r="Y181" s="271"/>
      <x:c r="Z181" s="271"/>
      <x:c r="AA181" s="271"/>
      <x:c r="AB181" s="271"/>
      <x:c r="AC181" s="271"/>
      <x:c r="AD181" s="271"/>
      <x:c r="AE181" s="271"/>
      <x:c r="AF181" s="271"/>
      <x:c r="AG181" s="271"/>
    </x:row>
    <x:row r="182">
      <x:c r="A182" s="272"/>
      <x:c r="B182" s="272"/>
      <x:c r="C182" s="272"/>
      <x:c r="D182" s="272"/>
      <x:c r="E182" s="272"/>
      <x:c r="F182" s="272"/>
      <x:c r="G182" s="272"/>
      <x:c r="H182" s="272"/>
      <x:c r="I182" s="272"/>
      <x:c r="J182" s="272"/>
      <x:c r="K182" s="272"/>
      <x:c r="L182" s="272"/>
      <x:c r="M182" s="272"/>
      <x:c r="N182" s="272"/>
      <x:c r="O182" s="272"/>
      <x:c r="P182" s="272"/>
      <x:c r="Q182" s="272"/>
      <x:c r="R182" s="272"/>
      <x:c r="S182" s="272"/>
      <x:c r="T182" s="272"/>
      <x:c r="U182" s="272"/>
      <x:c r="V182" s="272"/>
      <x:c r="W182" s="272"/>
      <x:c r="X182" s="272"/>
      <x:c r="Y182" s="271"/>
      <x:c r="Z182" s="271"/>
      <x:c r="AA182" s="271"/>
      <x:c r="AB182" s="271"/>
      <x:c r="AC182" s="271"/>
      <x:c r="AD182" s="271"/>
      <x:c r="AE182" s="271"/>
      <x:c r="AF182" s="271"/>
      <x:c r="AG182" s="271"/>
    </x:row>
    <x:row r="183">
      <x:c r="A183" s="272"/>
      <x:c r="B183" s="272"/>
      <x:c r="C183" s="272"/>
      <x:c r="D183" s="272"/>
      <x:c r="E183" s="272"/>
      <x:c r="F183" s="272"/>
      <x:c r="G183" s="272"/>
      <x:c r="H183" s="272"/>
      <x:c r="I183" s="272"/>
      <x:c r="J183" s="272"/>
      <x:c r="K183" s="272"/>
      <x:c r="L183" s="272"/>
      <x:c r="M183" s="272"/>
      <x:c r="N183" s="272"/>
      <x:c r="O183" s="272"/>
      <x:c r="P183" s="272"/>
      <x:c r="Q183" s="272"/>
      <x:c r="R183" s="272"/>
      <x:c r="S183" s="272"/>
      <x:c r="T183" s="272"/>
      <x:c r="U183" s="272"/>
      <x:c r="V183" s="272"/>
      <x:c r="W183" s="272"/>
      <x:c r="X183" s="272"/>
      <x:c r="Y183" s="271"/>
      <x:c r="Z183" s="271"/>
      <x:c r="AA183" s="271"/>
      <x:c r="AB183" s="271"/>
      <x:c r="AC183" s="271"/>
      <x:c r="AD183" s="271"/>
      <x:c r="AE183" s="271"/>
      <x:c r="AF183" s="271"/>
      <x:c r="AG183" s="271"/>
    </x:row>
    <x:row r="184">
      <x:c r="A184" s="272"/>
      <x:c r="B184" s="272"/>
      <x:c r="C184" s="272"/>
      <x:c r="D184" s="272"/>
      <x:c r="E184" s="272"/>
      <x:c r="F184" s="272"/>
      <x:c r="G184" s="272"/>
      <x:c r="H184" s="272"/>
      <x:c r="I184" s="272"/>
      <x:c r="J184" s="272"/>
      <x:c r="K184" s="272"/>
      <x:c r="L184" s="272"/>
      <x:c r="M184" s="272"/>
      <x:c r="N184" s="272"/>
      <x:c r="O184" s="272"/>
      <x:c r="P184" s="272"/>
      <x:c r="Q184" s="272"/>
      <x:c r="R184" s="272"/>
      <x:c r="S184" s="272"/>
      <x:c r="T184" s="272"/>
      <x:c r="U184" s="272"/>
      <x:c r="V184" s="272"/>
      <x:c r="W184" s="272"/>
      <x:c r="X184" s="272"/>
      <x:c r="Y184" s="271"/>
      <x:c r="Z184" s="271"/>
      <x:c r="AA184" s="271"/>
      <x:c r="AB184" s="271"/>
      <x:c r="AC184" s="271"/>
      <x:c r="AD184" s="271"/>
      <x:c r="AE184" s="271"/>
      <x:c r="AF184" s="271"/>
      <x:c r="AG184" s="271"/>
    </x:row>
    <x:row r="185">
      <x:c r="A185" s="272"/>
      <x:c r="B185" s="272"/>
      <x:c r="C185" s="272"/>
      <x:c r="D185" s="272"/>
      <x:c r="E185" s="272"/>
      <x:c r="F185" s="272"/>
      <x:c r="G185" s="272"/>
      <x:c r="H185" s="272"/>
      <x:c r="I185" s="272"/>
      <x:c r="J185" s="272"/>
      <x:c r="K185" s="272"/>
      <x:c r="L185" s="272"/>
      <x:c r="M185" s="272"/>
      <x:c r="N185" s="272"/>
      <x:c r="O185" s="272"/>
      <x:c r="P185" s="272"/>
      <x:c r="Q185" s="272"/>
      <x:c r="R185" s="272"/>
      <x:c r="S185" s="272"/>
      <x:c r="T185" s="272"/>
      <x:c r="U185" s="272"/>
      <x:c r="V185" s="272"/>
      <x:c r="W185" s="272"/>
      <x:c r="X185" s="272"/>
      <x:c r="Y185" s="271"/>
      <x:c r="Z185" s="271"/>
      <x:c r="AA185" s="271"/>
      <x:c r="AB185" s="271"/>
      <x:c r="AC185" s="271"/>
      <x:c r="AD185" s="271"/>
      <x:c r="AE185" s="271"/>
      <x:c r="AF185" s="271"/>
      <x:c r="AG185" s="271"/>
    </x:row>
    <x:row r="186">
      <x:c r="A186" s="272"/>
      <x:c r="B186" s="272"/>
      <x:c r="C186" s="272"/>
      <x:c r="D186" s="272"/>
      <x:c r="E186" s="272"/>
      <x:c r="F186" s="272"/>
      <x:c r="G186" s="272"/>
      <x:c r="H186" s="272"/>
      <x:c r="I186" s="272"/>
      <x:c r="J186" s="272"/>
      <x:c r="K186" s="272"/>
      <x:c r="L186" s="272"/>
      <x:c r="M186" s="272"/>
      <x:c r="N186" s="272"/>
      <x:c r="O186" s="272"/>
      <x:c r="P186" s="272"/>
      <x:c r="Q186" s="272"/>
      <x:c r="R186" s="272"/>
      <x:c r="S186" s="272"/>
      <x:c r="T186" s="272"/>
      <x:c r="U186" s="272"/>
      <x:c r="V186" s="272"/>
      <x:c r="W186" s="272"/>
      <x:c r="X186" s="272"/>
      <x:c r="Y186" s="271"/>
      <x:c r="Z186" s="271"/>
      <x:c r="AA186" s="271"/>
      <x:c r="AB186" s="271"/>
      <x:c r="AC186" s="271"/>
      <x:c r="AD186" s="271"/>
      <x:c r="AE186" s="271"/>
      <x:c r="AF186" s="271"/>
      <x:c r="AG186" s="271"/>
    </x:row>
    <x:row r="187">
      <x:c r="A187" s="272"/>
      <x:c r="B187" s="272"/>
      <x:c r="C187" s="272"/>
      <x:c r="D187" s="272"/>
      <x:c r="E187" s="272"/>
      <x:c r="F187" s="272"/>
      <x:c r="G187" s="272"/>
      <x:c r="H187" s="272"/>
      <x:c r="I187" s="272"/>
      <x:c r="J187" s="272"/>
      <x:c r="K187" s="272"/>
      <x:c r="L187" s="272"/>
      <x:c r="M187" s="272"/>
      <x:c r="N187" s="272"/>
      <x:c r="O187" s="272"/>
      <x:c r="P187" s="272"/>
      <x:c r="Q187" s="272"/>
      <x:c r="R187" s="272"/>
      <x:c r="S187" s="272"/>
      <x:c r="T187" s="272"/>
      <x:c r="U187" s="272"/>
      <x:c r="V187" s="272"/>
      <x:c r="W187" s="272"/>
      <x:c r="X187" s="272"/>
      <x:c r="Y187" s="271"/>
      <x:c r="Z187" s="271"/>
      <x:c r="AA187" s="271"/>
      <x:c r="AB187" s="271"/>
      <x:c r="AC187" s="271"/>
      <x:c r="AD187" s="271"/>
      <x:c r="AE187" s="271"/>
      <x:c r="AF187" s="271"/>
      <x:c r="AG187" s="271"/>
    </x:row>
    <x:row r="188">
      <x:c r="A188" s="272"/>
      <x:c r="B188" s="272"/>
      <x:c r="C188" s="272"/>
      <x:c r="D188" s="272"/>
      <x:c r="E188" s="272"/>
      <x:c r="F188" s="272"/>
      <x:c r="G188" s="272"/>
      <x:c r="H188" s="272"/>
      <x:c r="I188" s="272"/>
      <x:c r="J188" s="272"/>
      <x:c r="K188" s="272"/>
      <x:c r="L188" s="272"/>
      <x:c r="M188" s="272"/>
      <x:c r="N188" s="272"/>
      <x:c r="O188" s="272"/>
      <x:c r="P188" s="272"/>
      <x:c r="Q188" s="272"/>
      <x:c r="R188" s="272"/>
      <x:c r="S188" s="272"/>
      <x:c r="T188" s="272"/>
      <x:c r="U188" s="272"/>
      <x:c r="V188" s="272"/>
      <x:c r="W188" s="272"/>
      <x:c r="X188" s="272"/>
      <x:c r="Y188" s="271"/>
      <x:c r="Z188" s="271"/>
      <x:c r="AA188" s="271"/>
      <x:c r="AB188" s="271"/>
      <x:c r="AC188" s="271"/>
      <x:c r="AD188" s="271"/>
      <x:c r="AE188" s="271"/>
      <x:c r="AF188" s="271"/>
      <x:c r="AG188" s="271"/>
    </x:row>
    <x:row r="189">
      <x:c r="A189" s="272"/>
      <x:c r="B189" s="272"/>
      <x:c r="C189" s="272"/>
      <x:c r="D189" s="272"/>
      <x:c r="E189" s="272"/>
      <x:c r="F189" s="272"/>
      <x:c r="G189" s="272"/>
      <x:c r="H189" s="272"/>
      <x:c r="I189" s="272"/>
      <x:c r="J189" s="272"/>
      <x:c r="K189" s="272"/>
      <x:c r="L189" s="272"/>
      <x:c r="M189" s="272"/>
      <x:c r="N189" s="272"/>
      <x:c r="O189" s="272"/>
      <x:c r="P189" s="272"/>
      <x:c r="Q189" s="272"/>
      <x:c r="R189" s="272"/>
      <x:c r="S189" s="272"/>
      <x:c r="T189" s="272"/>
      <x:c r="U189" s="272"/>
      <x:c r="V189" s="272"/>
      <x:c r="W189" s="272"/>
      <x:c r="X189" s="272"/>
      <x:c r="Y189" s="271"/>
      <x:c r="Z189" s="271"/>
      <x:c r="AA189" s="271"/>
      <x:c r="AB189" s="271"/>
      <x:c r="AC189" s="271"/>
      <x:c r="AD189" s="271"/>
      <x:c r="AE189" s="271"/>
      <x:c r="AF189" s="271"/>
      <x:c r="AG189" s="271"/>
    </x:row>
    <x:row r="190">
      <x:c r="A190" s="272"/>
      <x:c r="B190" s="272"/>
      <x:c r="C190" s="272"/>
      <x:c r="D190" s="272"/>
      <x:c r="E190" s="272"/>
      <x:c r="F190" s="272"/>
      <x:c r="G190" s="272"/>
      <x:c r="H190" s="272"/>
      <x:c r="I190" s="272"/>
      <x:c r="J190" s="272"/>
      <x:c r="K190" s="272"/>
      <x:c r="L190" s="272"/>
      <x:c r="M190" s="272"/>
      <x:c r="N190" s="272"/>
      <x:c r="O190" s="272"/>
      <x:c r="P190" s="272"/>
      <x:c r="Q190" s="272"/>
      <x:c r="R190" s="272"/>
      <x:c r="S190" s="272"/>
      <x:c r="T190" s="272"/>
      <x:c r="U190" s="272"/>
      <x:c r="V190" s="272"/>
      <x:c r="W190" s="272"/>
      <x:c r="X190" s="272"/>
      <x:c r="Y190" s="271"/>
      <x:c r="Z190" s="271"/>
      <x:c r="AA190" s="271"/>
      <x:c r="AB190" s="271"/>
      <x:c r="AC190" s="271"/>
      <x:c r="AD190" s="271"/>
      <x:c r="AE190" s="271"/>
      <x:c r="AF190" s="271"/>
      <x:c r="AG190" s="271"/>
    </x:row>
    <x:row r="191">
      <x:c r="A191" s="272"/>
      <x:c r="B191" s="272"/>
      <x:c r="C191" s="272"/>
      <x:c r="D191" s="272"/>
      <x:c r="E191" s="272"/>
      <x:c r="F191" s="272"/>
      <x:c r="G191" s="272"/>
      <x:c r="H191" s="272"/>
      <x:c r="I191" s="272"/>
      <x:c r="J191" s="272"/>
      <x:c r="K191" s="272"/>
      <x:c r="L191" s="272"/>
      <x:c r="M191" s="272"/>
      <x:c r="N191" s="272"/>
      <x:c r="O191" s="272"/>
      <x:c r="P191" s="272"/>
      <x:c r="Q191" s="272"/>
      <x:c r="R191" s="272"/>
      <x:c r="S191" s="272"/>
      <x:c r="T191" s="272"/>
      <x:c r="U191" s="272"/>
      <x:c r="V191" s="272"/>
      <x:c r="W191" s="272"/>
      <x:c r="X191" s="272"/>
      <x:c r="Y191" s="271"/>
      <x:c r="Z191" s="271"/>
      <x:c r="AA191" s="271"/>
      <x:c r="AB191" s="271"/>
      <x:c r="AC191" s="271"/>
      <x:c r="AD191" s="271"/>
      <x:c r="AE191" s="271"/>
      <x:c r="AF191" s="271"/>
      <x:c r="AG191" s="271"/>
    </x:row>
    <x:row r="192">
      <x:c r="A192" s="272"/>
      <x:c r="B192" s="272"/>
      <x:c r="C192" s="272"/>
      <x:c r="D192" s="272"/>
      <x:c r="E192" s="272"/>
      <x:c r="F192" s="272"/>
      <x:c r="G192" s="272"/>
      <x:c r="H192" s="272"/>
      <x:c r="I192" s="272"/>
      <x:c r="J192" s="272"/>
      <x:c r="K192" s="272"/>
      <x:c r="L192" s="272"/>
      <x:c r="M192" s="272"/>
      <x:c r="N192" s="272"/>
      <x:c r="O192" s="272"/>
      <x:c r="P192" s="272"/>
      <x:c r="Q192" s="272"/>
      <x:c r="R192" s="272"/>
      <x:c r="S192" s="272"/>
      <x:c r="T192" s="272"/>
      <x:c r="U192" s="272"/>
      <x:c r="V192" s="272"/>
      <x:c r="W192" s="272"/>
      <x:c r="X192" s="272"/>
      <x:c r="Y192" s="271"/>
      <x:c r="Z192" s="271"/>
      <x:c r="AA192" s="271"/>
      <x:c r="AB192" s="271"/>
      <x:c r="AC192" s="271"/>
      <x:c r="AD192" s="271"/>
      <x:c r="AE192" s="271"/>
      <x:c r="AF192" s="271"/>
      <x:c r="AG192" s="271"/>
    </x:row>
    <x:row r="193">
      <x:c r="A193" s="272"/>
      <x:c r="B193" s="272"/>
      <x:c r="C193" s="272"/>
      <x:c r="D193" s="272"/>
      <x:c r="E193" s="272"/>
      <x:c r="F193" s="272"/>
      <x:c r="G193" s="272"/>
      <x:c r="H193" s="272"/>
      <x:c r="I193" s="272"/>
      <x:c r="J193" s="272"/>
      <x:c r="K193" s="272"/>
      <x:c r="L193" s="272"/>
      <x:c r="M193" s="272"/>
      <x:c r="N193" s="272"/>
      <x:c r="O193" s="272"/>
      <x:c r="P193" s="272"/>
      <x:c r="Q193" s="272"/>
      <x:c r="R193" s="272"/>
      <x:c r="S193" s="272"/>
      <x:c r="T193" s="272"/>
      <x:c r="U193" s="272"/>
      <x:c r="V193" s="272"/>
      <x:c r="W193" s="272"/>
      <x:c r="X193" s="272"/>
      <x:c r="Y193" s="271"/>
      <x:c r="Z193" s="271"/>
      <x:c r="AA193" s="271"/>
      <x:c r="AB193" s="271"/>
      <x:c r="AC193" s="271"/>
      <x:c r="AD193" s="271"/>
      <x:c r="AE193" s="271"/>
      <x:c r="AF193" s="271"/>
      <x:c r="AG193" s="271"/>
    </x:row>
    <x:row r="194">
      <x:c r="A194" s="272"/>
      <x:c r="B194" s="272"/>
      <x:c r="C194" s="272"/>
      <x:c r="D194" s="272"/>
      <x:c r="E194" s="272"/>
      <x:c r="F194" s="272"/>
      <x:c r="G194" s="272"/>
      <x:c r="H194" s="272"/>
      <x:c r="I194" s="272"/>
      <x:c r="J194" s="272"/>
      <x:c r="K194" s="272"/>
      <x:c r="L194" s="272"/>
      <x:c r="M194" s="272"/>
      <x:c r="N194" s="272"/>
      <x:c r="O194" s="272"/>
      <x:c r="P194" s="272"/>
      <x:c r="Q194" s="272"/>
      <x:c r="R194" s="272"/>
      <x:c r="S194" s="272"/>
      <x:c r="T194" s="272"/>
      <x:c r="U194" s="272"/>
      <x:c r="V194" s="272"/>
      <x:c r="W194" s="272"/>
      <x:c r="X194" s="272"/>
      <x:c r="Y194" s="271"/>
      <x:c r="Z194" s="271"/>
      <x:c r="AA194" s="271"/>
      <x:c r="AB194" s="271"/>
      <x:c r="AC194" s="271"/>
      <x:c r="AD194" s="271"/>
      <x:c r="AE194" s="271"/>
      <x:c r="AF194" s="271"/>
      <x:c r="AG194" s="271"/>
    </x:row>
    <x:row r="195">
      <x:c r="A195" s="272"/>
      <x:c r="B195" s="272"/>
      <x:c r="C195" s="272"/>
      <x:c r="D195" s="272"/>
      <x:c r="E195" s="272"/>
      <x:c r="F195" s="272"/>
      <x:c r="G195" s="272"/>
      <x:c r="H195" s="272"/>
      <x:c r="I195" s="272"/>
      <x:c r="J195" s="272"/>
      <x:c r="K195" s="272"/>
      <x:c r="L195" s="272"/>
      <x:c r="M195" s="272"/>
      <x:c r="N195" s="272"/>
      <x:c r="O195" s="272"/>
      <x:c r="P195" s="272"/>
      <x:c r="Q195" s="272"/>
      <x:c r="R195" s="272"/>
      <x:c r="S195" s="272"/>
      <x:c r="T195" s="272"/>
      <x:c r="U195" s="272"/>
      <x:c r="V195" s="272"/>
      <x:c r="W195" s="272"/>
      <x:c r="X195" s="272"/>
      <x:c r="Y195" s="271"/>
      <x:c r="Z195" s="271"/>
      <x:c r="AA195" s="271"/>
      <x:c r="AB195" s="271"/>
      <x:c r="AC195" s="271"/>
      <x:c r="AD195" s="271"/>
      <x:c r="AE195" s="271"/>
      <x:c r="AF195" s="271"/>
      <x:c r="AG195" s="271"/>
    </x:row>
    <x:row r="196">
      <x:c r="A196" s="272"/>
      <x:c r="B196" s="272"/>
      <x:c r="C196" s="272"/>
      <x:c r="D196" s="272"/>
      <x:c r="E196" s="272"/>
      <x:c r="F196" s="272"/>
      <x:c r="G196" s="272"/>
      <x:c r="H196" s="272"/>
      <x:c r="I196" s="272"/>
      <x:c r="J196" s="272"/>
      <x:c r="K196" s="272"/>
      <x:c r="L196" s="272"/>
      <x:c r="M196" s="272"/>
      <x:c r="N196" s="272"/>
      <x:c r="O196" s="272"/>
      <x:c r="P196" s="272"/>
      <x:c r="Q196" s="272"/>
      <x:c r="R196" s="272"/>
      <x:c r="S196" s="272"/>
      <x:c r="T196" s="272"/>
      <x:c r="U196" s="272"/>
      <x:c r="V196" s="272"/>
      <x:c r="W196" s="272"/>
      <x:c r="X196" s="272"/>
      <x:c r="Y196" s="271"/>
      <x:c r="Z196" s="271"/>
      <x:c r="AA196" s="271"/>
      <x:c r="AB196" s="271"/>
      <x:c r="AC196" s="271"/>
      <x:c r="AD196" s="271"/>
      <x:c r="AE196" s="271"/>
      <x:c r="AF196" s="271"/>
      <x:c r="AG196" s="271"/>
    </x:row>
    <x:row r="197">
      <x:c r="A197" s="272"/>
      <x:c r="B197" s="272"/>
      <x:c r="C197" s="272"/>
      <x:c r="D197" s="272"/>
      <x:c r="E197" s="272"/>
      <x:c r="F197" s="272"/>
      <x:c r="G197" s="272"/>
      <x:c r="H197" s="272"/>
      <x:c r="I197" s="272"/>
      <x:c r="J197" s="272"/>
      <x:c r="K197" s="272"/>
      <x:c r="L197" s="272"/>
      <x:c r="M197" s="272"/>
      <x:c r="N197" s="272"/>
      <x:c r="O197" s="272"/>
      <x:c r="P197" s="272"/>
      <x:c r="Q197" s="272"/>
      <x:c r="R197" s="272"/>
      <x:c r="S197" s="272"/>
      <x:c r="T197" s="272"/>
      <x:c r="U197" s="272"/>
      <x:c r="V197" s="272"/>
      <x:c r="W197" s="272"/>
      <x:c r="X197" s="272"/>
      <x:c r="Y197" s="271"/>
      <x:c r="Z197" s="271"/>
      <x:c r="AA197" s="271"/>
      <x:c r="AB197" s="271"/>
      <x:c r="AC197" s="271"/>
      <x:c r="AD197" s="271"/>
      <x:c r="AE197" s="271"/>
      <x:c r="AF197" s="271"/>
      <x:c r="AG197" s="271"/>
    </x:row>
    <x:row r="198">
      <x:c r="A198" s="272"/>
      <x:c r="B198" s="272"/>
      <x:c r="C198" s="272"/>
      <x:c r="D198" s="272"/>
      <x:c r="E198" s="272"/>
      <x:c r="F198" s="272"/>
      <x:c r="G198" s="272"/>
      <x:c r="H198" s="272"/>
      <x:c r="I198" s="272"/>
      <x:c r="J198" s="272"/>
      <x:c r="K198" s="272"/>
      <x:c r="L198" s="272"/>
      <x:c r="M198" s="272"/>
      <x:c r="N198" s="272"/>
      <x:c r="O198" s="272"/>
      <x:c r="P198" s="272"/>
      <x:c r="Q198" s="272"/>
      <x:c r="R198" s="272"/>
      <x:c r="S198" s="272"/>
      <x:c r="T198" s="272"/>
      <x:c r="U198" s="272"/>
      <x:c r="V198" s="272"/>
      <x:c r="W198" s="272"/>
      <x:c r="X198" s="272"/>
      <x:c r="Y198" s="271"/>
      <x:c r="Z198" s="271"/>
      <x:c r="AA198" s="271"/>
      <x:c r="AB198" s="271"/>
      <x:c r="AC198" s="271"/>
      <x:c r="AD198" s="271"/>
      <x:c r="AE198" s="271"/>
      <x:c r="AF198" s="271"/>
      <x:c r="AG198" s="271"/>
    </x:row>
    <x:row r="199">
      <x:c r="A199" s="272"/>
      <x:c r="B199" s="272"/>
      <x:c r="C199" s="272"/>
      <x:c r="D199" s="272"/>
      <x:c r="E199" s="272"/>
      <x:c r="F199" s="272"/>
      <x:c r="G199" s="272"/>
      <x:c r="H199" s="272"/>
      <x:c r="I199" s="272"/>
      <x:c r="J199" s="272"/>
      <x:c r="K199" s="272"/>
      <x:c r="L199" s="272"/>
      <x:c r="M199" s="272"/>
      <x:c r="N199" s="272"/>
      <x:c r="O199" s="272"/>
      <x:c r="P199" s="272"/>
      <x:c r="Q199" s="272"/>
      <x:c r="R199" s="272"/>
      <x:c r="S199" s="272"/>
      <x:c r="T199" s="272"/>
      <x:c r="U199" s="272"/>
      <x:c r="V199" s="272"/>
      <x:c r="W199" s="272"/>
      <x:c r="X199" s="272"/>
      <x:c r="Y199" s="271"/>
      <x:c r="Z199" s="271"/>
      <x:c r="AA199" s="271"/>
      <x:c r="AB199" s="271"/>
      <x:c r="AC199" s="271"/>
      <x:c r="AD199" s="271"/>
      <x:c r="AE199" s="271"/>
      <x:c r="AF199" s="271"/>
      <x:c r="AG199" s="271"/>
    </x:row>
    <x:row r="200">
      <x:c r="A200" s="272"/>
      <x:c r="B200" s="272"/>
      <x:c r="C200" s="272"/>
      <x:c r="D200" s="272"/>
      <x:c r="E200" s="272"/>
      <x:c r="F200" s="272"/>
      <x:c r="G200" s="272"/>
      <x:c r="H200" s="272"/>
      <x:c r="I200" s="272"/>
      <x:c r="J200" s="272"/>
      <x:c r="K200" s="272"/>
      <x:c r="L200" s="272"/>
      <x:c r="M200" s="272"/>
      <x:c r="N200" s="272"/>
      <x:c r="O200" s="272"/>
      <x:c r="P200" s="272"/>
      <x:c r="Q200" s="272"/>
      <x:c r="R200" s="272"/>
      <x:c r="S200" s="272"/>
      <x:c r="T200" s="272"/>
      <x:c r="U200" s="272"/>
      <x:c r="V200" s="272"/>
      <x:c r="W200" s="272"/>
      <x:c r="X200" s="272"/>
      <x:c r="Y200" s="271"/>
      <x:c r="Z200" s="271"/>
      <x:c r="AA200" s="271"/>
      <x:c r="AB200" s="271"/>
      <x:c r="AC200" s="271"/>
      <x:c r="AD200" s="271"/>
      <x:c r="AE200" s="271"/>
      <x:c r="AF200" s="271"/>
      <x:c r="AG200" s="271"/>
    </x:row>
    <x:row r="201">
      <x:c r="A201" s="272"/>
      <x:c r="B201" s="272"/>
      <x:c r="C201" s="272"/>
      <x:c r="D201" s="272"/>
      <x:c r="E201" s="272"/>
      <x:c r="F201" s="272"/>
      <x:c r="G201" s="272"/>
      <x:c r="H201" s="272"/>
      <x:c r="I201" s="272"/>
      <x:c r="J201" s="272"/>
      <x:c r="K201" s="272"/>
      <x:c r="L201" s="272"/>
      <x:c r="M201" s="272"/>
      <x:c r="N201" s="272"/>
      <x:c r="O201" s="272"/>
      <x:c r="P201" s="272"/>
      <x:c r="Q201" s="272"/>
      <x:c r="R201" s="272"/>
      <x:c r="S201" s="272"/>
      <x:c r="T201" s="272"/>
      <x:c r="U201" s="272"/>
      <x:c r="V201" s="272"/>
      <x:c r="W201" s="272"/>
      <x:c r="X201" s="272"/>
      <x:c r="Y201" s="271"/>
      <x:c r="Z201" s="271"/>
      <x:c r="AA201" s="271"/>
      <x:c r="AB201" s="271"/>
      <x:c r="AC201" s="271"/>
      <x:c r="AD201" s="271"/>
      <x:c r="AE201" s="271"/>
      <x:c r="AF201" s="271"/>
      <x:c r="AG201" s="271"/>
    </x:row>
    <x:row r="202">
      <x:c r="A202" s="272"/>
      <x:c r="B202" s="272"/>
      <x:c r="C202" s="272"/>
      <x:c r="D202" s="272"/>
      <x:c r="E202" s="272"/>
      <x:c r="F202" s="272"/>
      <x:c r="G202" s="272"/>
      <x:c r="H202" s="272"/>
      <x:c r="I202" s="272"/>
      <x:c r="J202" s="272"/>
      <x:c r="K202" s="272"/>
      <x:c r="L202" s="272"/>
      <x:c r="M202" s="272"/>
      <x:c r="N202" s="272"/>
      <x:c r="O202" s="272"/>
      <x:c r="P202" s="272"/>
      <x:c r="Q202" s="272"/>
      <x:c r="R202" s="272"/>
      <x:c r="S202" s="272"/>
      <x:c r="T202" s="272"/>
      <x:c r="U202" s="272"/>
      <x:c r="V202" s="272"/>
      <x:c r="W202" s="272"/>
      <x:c r="X202" s="272"/>
      <x:c r="Y202" s="271"/>
      <x:c r="Z202" s="271"/>
      <x:c r="AA202" s="271"/>
      <x:c r="AB202" s="271"/>
      <x:c r="AC202" s="271"/>
      <x:c r="AD202" s="271"/>
      <x:c r="AE202" s="271"/>
      <x:c r="AF202" s="271"/>
      <x:c r="AG202" s="271"/>
    </x:row>
    <x:row r="203">
      <x:c r="A203" s="272"/>
      <x:c r="B203" s="272"/>
      <x:c r="C203" s="272"/>
      <x:c r="D203" s="272"/>
      <x:c r="E203" s="272"/>
      <x:c r="F203" s="272"/>
      <x:c r="G203" s="272"/>
      <x:c r="H203" s="272"/>
      <x:c r="I203" s="272"/>
      <x:c r="J203" s="272"/>
      <x:c r="K203" s="272"/>
      <x:c r="L203" s="272"/>
      <x:c r="M203" s="272"/>
      <x:c r="N203" s="272"/>
      <x:c r="O203" s="272"/>
      <x:c r="P203" s="272"/>
      <x:c r="Q203" s="272"/>
      <x:c r="R203" s="272"/>
      <x:c r="S203" s="272"/>
      <x:c r="T203" s="272"/>
      <x:c r="U203" s="272"/>
      <x:c r="V203" s="272"/>
      <x:c r="W203" s="272"/>
      <x:c r="X203" s="272"/>
      <x:c r="Y203" s="271"/>
      <x:c r="Z203" s="271"/>
      <x:c r="AA203" s="271"/>
      <x:c r="AB203" s="271"/>
      <x:c r="AC203" s="271"/>
      <x:c r="AD203" s="271"/>
      <x:c r="AE203" s="271"/>
      <x:c r="AF203" s="271"/>
      <x:c r="AG203" s="271"/>
    </x:row>
    <x:row r="204">
      <x:c r="A204" s="272"/>
      <x:c r="B204" s="272"/>
      <x:c r="C204" s="272"/>
      <x:c r="D204" s="272"/>
      <x:c r="E204" s="272"/>
      <x:c r="F204" s="272"/>
      <x:c r="G204" s="272"/>
      <x:c r="H204" s="272"/>
      <x:c r="I204" s="272"/>
      <x:c r="J204" s="272"/>
      <x:c r="K204" s="272"/>
      <x:c r="L204" s="272"/>
      <x:c r="M204" s="272"/>
      <x:c r="N204" s="272"/>
      <x:c r="O204" s="272"/>
      <x:c r="P204" s="272"/>
      <x:c r="Q204" s="272"/>
      <x:c r="R204" s="272"/>
      <x:c r="S204" s="272"/>
      <x:c r="T204" s="272"/>
      <x:c r="U204" s="272"/>
      <x:c r="V204" s="272"/>
      <x:c r="W204" s="272"/>
      <x:c r="X204" s="272"/>
      <x:c r="Y204" s="271"/>
      <x:c r="Z204" s="271"/>
      <x:c r="AA204" s="271"/>
      <x:c r="AB204" s="271"/>
      <x:c r="AC204" s="271"/>
      <x:c r="AD204" s="271"/>
      <x:c r="AE204" s="271"/>
      <x:c r="AF204" s="271"/>
      <x:c r="AG204" s="271"/>
    </x:row>
    <x:row r="205">
      <x:c r="A205" s="272"/>
      <x:c r="B205" s="272"/>
      <x:c r="C205" s="272"/>
      <x:c r="D205" s="272"/>
      <x:c r="E205" s="272"/>
      <x:c r="F205" s="272"/>
      <x:c r="G205" s="272"/>
      <x:c r="H205" s="272"/>
      <x:c r="I205" s="272"/>
      <x:c r="J205" s="272"/>
      <x:c r="K205" s="272"/>
      <x:c r="L205" s="272"/>
      <x:c r="M205" s="272"/>
      <x:c r="N205" s="272"/>
      <x:c r="O205" s="272"/>
      <x:c r="P205" s="272"/>
      <x:c r="Q205" s="272"/>
      <x:c r="R205" s="272"/>
      <x:c r="S205" s="272"/>
      <x:c r="T205" s="272"/>
      <x:c r="U205" s="272"/>
      <x:c r="V205" s="272"/>
      <x:c r="W205" s="272"/>
      <x:c r="X205" s="272"/>
      <x:c r="Y205" s="271"/>
      <x:c r="Z205" s="271"/>
      <x:c r="AA205" s="271"/>
      <x:c r="AB205" s="271"/>
      <x:c r="AC205" s="271"/>
      <x:c r="AD205" s="271"/>
      <x:c r="AE205" s="271"/>
      <x:c r="AF205" s="271"/>
      <x:c r="AG205" s="271"/>
    </x:row>
    <x:row r="206">
      <x:c r="A206" s="272"/>
      <x:c r="B206" s="272"/>
      <x:c r="C206" s="272"/>
      <x:c r="D206" s="272"/>
      <x:c r="E206" s="272"/>
      <x:c r="F206" s="272"/>
      <x:c r="G206" s="272"/>
      <x:c r="H206" s="272"/>
      <x:c r="I206" s="272"/>
      <x:c r="J206" s="272"/>
      <x:c r="K206" s="272"/>
      <x:c r="L206" s="272"/>
      <x:c r="M206" s="272"/>
      <x:c r="N206" s="272"/>
      <x:c r="O206" s="272"/>
      <x:c r="P206" s="272"/>
      <x:c r="Q206" s="272"/>
      <x:c r="R206" s="272"/>
      <x:c r="S206" s="272"/>
      <x:c r="T206" s="272"/>
      <x:c r="U206" s="272"/>
      <x:c r="V206" s="272"/>
      <x:c r="W206" s="272"/>
      <x:c r="X206" s="272"/>
      <x:c r="Y206" s="271"/>
      <x:c r="Z206" s="271"/>
      <x:c r="AA206" s="271"/>
      <x:c r="AB206" s="271"/>
      <x:c r="AC206" s="271"/>
      <x:c r="AD206" s="271"/>
      <x:c r="AE206" s="271"/>
      <x:c r="AF206" s="271"/>
      <x:c r="AG206" s="271"/>
    </x:row>
    <x:row r="207">
      <x:c r="A207" s="272"/>
      <x:c r="B207" s="272"/>
      <x:c r="C207" s="272"/>
      <x:c r="D207" s="272"/>
      <x:c r="E207" s="272"/>
      <x:c r="F207" s="272"/>
      <x:c r="G207" s="272"/>
      <x:c r="H207" s="272"/>
      <x:c r="I207" s="272"/>
      <x:c r="J207" s="272"/>
      <x:c r="K207" s="272"/>
      <x:c r="L207" s="272"/>
      <x:c r="M207" s="272"/>
      <x:c r="N207" s="272"/>
      <x:c r="O207" s="272"/>
      <x:c r="P207" s="272"/>
      <x:c r="Q207" s="272"/>
      <x:c r="R207" s="272"/>
      <x:c r="S207" s="272"/>
      <x:c r="T207" s="272"/>
      <x:c r="U207" s="272"/>
      <x:c r="V207" s="272"/>
      <x:c r="W207" s="272"/>
      <x:c r="X207" s="272"/>
      <x:c r="Y207" s="271"/>
      <x:c r="Z207" s="271"/>
      <x:c r="AA207" s="271"/>
      <x:c r="AB207" s="271"/>
      <x:c r="AC207" s="271"/>
      <x:c r="AD207" s="271"/>
      <x:c r="AE207" s="271"/>
      <x:c r="AF207" s="271"/>
      <x:c r="AG207" s="271"/>
    </x:row>
    <x:row r="208">
      <x:c r="A208" s="272"/>
      <x:c r="B208" s="272"/>
      <x:c r="C208" s="272"/>
      <x:c r="D208" s="272"/>
      <x:c r="E208" s="272"/>
      <x:c r="F208" s="272"/>
      <x:c r="G208" s="272"/>
      <x:c r="H208" s="272"/>
      <x:c r="I208" s="272"/>
      <x:c r="J208" s="272"/>
      <x:c r="K208" s="272"/>
      <x:c r="L208" s="272"/>
      <x:c r="M208" s="272"/>
      <x:c r="N208" s="272"/>
      <x:c r="O208" s="272"/>
      <x:c r="P208" s="272"/>
      <x:c r="Q208" s="272"/>
      <x:c r="R208" s="272"/>
      <x:c r="S208" s="272"/>
      <x:c r="T208" s="272"/>
      <x:c r="U208" s="272"/>
      <x:c r="V208" s="272"/>
      <x:c r="W208" s="272"/>
      <x:c r="X208" s="272"/>
      <x:c r="Y208" s="271"/>
      <x:c r="Z208" s="271"/>
      <x:c r="AA208" s="271"/>
      <x:c r="AB208" s="271"/>
      <x:c r="AC208" s="271"/>
      <x:c r="AD208" s="271"/>
      <x:c r="AE208" s="271"/>
      <x:c r="AF208" s="271"/>
      <x:c r="AG208" s="271"/>
    </x:row>
    <x:row r="209">
      <x:c r="A209" s="272"/>
      <x:c r="B209" s="272"/>
      <x:c r="C209" s="272"/>
      <x:c r="D209" s="272"/>
      <x:c r="E209" s="272"/>
      <x:c r="F209" s="272"/>
      <x:c r="G209" s="272"/>
      <x:c r="H209" s="272"/>
      <x:c r="I209" s="272"/>
      <x:c r="J209" s="272"/>
      <x:c r="K209" s="272"/>
      <x:c r="L209" s="272"/>
      <x:c r="M209" s="272"/>
      <x:c r="N209" s="272"/>
      <x:c r="O209" s="272"/>
      <x:c r="P209" s="272"/>
      <x:c r="Q209" s="272"/>
      <x:c r="R209" s="272"/>
      <x:c r="S209" s="272"/>
      <x:c r="T209" s="272"/>
      <x:c r="U209" s="272"/>
      <x:c r="V209" s="272"/>
      <x:c r="W209" s="272"/>
      <x:c r="X209" s="272"/>
      <x:c r="Y209" s="271"/>
      <x:c r="Z209" s="271"/>
      <x:c r="AA209" s="271"/>
      <x:c r="AB209" s="271"/>
      <x:c r="AC209" s="271"/>
      <x:c r="AD209" s="271"/>
      <x:c r="AE209" s="271"/>
      <x:c r="AF209" s="271"/>
      <x:c r="AG209" s="271"/>
    </x:row>
    <x:row r="210">
      <x:c r="A210" s="272"/>
      <x:c r="B210" s="272"/>
      <x:c r="C210" s="272"/>
      <x:c r="D210" s="272"/>
      <x:c r="E210" s="272"/>
      <x:c r="F210" s="272"/>
      <x:c r="G210" s="272"/>
      <x:c r="H210" s="272"/>
      <x:c r="I210" s="272"/>
      <x:c r="J210" s="272"/>
      <x:c r="K210" s="272"/>
      <x:c r="L210" s="272"/>
      <x:c r="M210" s="272"/>
      <x:c r="N210" s="272"/>
      <x:c r="O210" s="272"/>
      <x:c r="P210" s="272"/>
      <x:c r="Q210" s="272"/>
      <x:c r="R210" s="272"/>
      <x:c r="S210" s="272"/>
      <x:c r="T210" s="272"/>
      <x:c r="U210" s="272"/>
      <x:c r="V210" s="272"/>
      <x:c r="W210" s="272"/>
      <x:c r="X210" s="272"/>
      <x:c r="Y210" s="271"/>
      <x:c r="Z210" s="271"/>
      <x:c r="AA210" s="271"/>
      <x:c r="AB210" s="271"/>
      <x:c r="AC210" s="271"/>
      <x:c r="AD210" s="271"/>
      <x:c r="AE210" s="271"/>
      <x:c r="AF210" s="271"/>
      <x:c r="AG210" s="271"/>
    </x:row>
    <x:row r="211">
      <x:c r="A211" s="272"/>
      <x:c r="B211" s="272"/>
      <x:c r="C211" s="272"/>
      <x:c r="D211" s="272"/>
      <x:c r="E211" s="272"/>
      <x:c r="F211" s="272"/>
      <x:c r="G211" s="272"/>
      <x:c r="H211" s="272"/>
      <x:c r="I211" s="272"/>
      <x:c r="J211" s="272"/>
      <x:c r="K211" s="272"/>
      <x:c r="L211" s="272"/>
      <x:c r="M211" s="272"/>
      <x:c r="N211" s="272"/>
      <x:c r="O211" s="272"/>
      <x:c r="P211" s="272"/>
      <x:c r="Q211" s="272"/>
      <x:c r="R211" s="272"/>
      <x:c r="S211" s="272"/>
      <x:c r="T211" s="272"/>
      <x:c r="U211" s="272"/>
      <x:c r="V211" s="272"/>
      <x:c r="W211" s="272"/>
      <x:c r="X211" s="272"/>
      <x:c r="Y211" s="271"/>
      <x:c r="Z211" s="271"/>
      <x:c r="AA211" s="271"/>
      <x:c r="AB211" s="271"/>
      <x:c r="AC211" s="271"/>
      <x:c r="AD211" s="271"/>
      <x:c r="AE211" s="271"/>
      <x:c r="AF211" s="271"/>
      <x:c r="AG211" s="271"/>
    </x:row>
    <x:row r="212">
      <x:c r="A212" s="272"/>
      <x:c r="B212" s="272"/>
      <x:c r="C212" s="272"/>
      <x:c r="D212" s="272"/>
      <x:c r="E212" s="272"/>
      <x:c r="F212" s="272"/>
      <x:c r="G212" s="272"/>
      <x:c r="H212" s="272"/>
      <x:c r="I212" s="272"/>
      <x:c r="J212" s="272"/>
      <x:c r="K212" s="272"/>
      <x:c r="L212" s="272"/>
      <x:c r="M212" s="272"/>
      <x:c r="N212" s="272"/>
      <x:c r="O212" s="272"/>
      <x:c r="P212" s="272"/>
      <x:c r="Q212" s="272"/>
      <x:c r="R212" s="272"/>
      <x:c r="S212" s="272"/>
      <x:c r="T212" s="272"/>
      <x:c r="U212" s="272"/>
      <x:c r="V212" s="272"/>
      <x:c r="W212" s="272"/>
      <x:c r="X212" s="272"/>
      <x:c r="Y212" s="271"/>
      <x:c r="Z212" s="271"/>
      <x:c r="AA212" s="271"/>
      <x:c r="AB212" s="271"/>
      <x:c r="AC212" s="271"/>
      <x:c r="AD212" s="271"/>
      <x:c r="AE212" s="271"/>
      <x:c r="AF212" s="271"/>
      <x:c r="AG212" s="271"/>
    </x:row>
    <x:row r="213">
      <x:c r="A213" s="272"/>
      <x:c r="B213" s="272"/>
      <x:c r="C213" s="272"/>
      <x:c r="D213" s="272"/>
      <x:c r="E213" s="272"/>
      <x:c r="F213" s="272"/>
      <x:c r="G213" s="272"/>
      <x:c r="H213" s="272"/>
      <x:c r="I213" s="272"/>
      <x:c r="J213" s="272"/>
      <x:c r="K213" s="272"/>
      <x:c r="L213" s="272"/>
      <x:c r="M213" s="272"/>
      <x:c r="N213" s="272"/>
      <x:c r="O213" s="272"/>
      <x:c r="P213" s="272"/>
      <x:c r="Q213" s="272"/>
      <x:c r="R213" s="272"/>
      <x:c r="S213" s="272"/>
      <x:c r="T213" s="272"/>
      <x:c r="U213" s="272"/>
      <x:c r="V213" s="272"/>
      <x:c r="W213" s="272"/>
      <x:c r="X213" s="272"/>
      <x:c r="Y213" s="271"/>
      <x:c r="Z213" s="271"/>
      <x:c r="AA213" s="271"/>
      <x:c r="AB213" s="271"/>
      <x:c r="AC213" s="271"/>
      <x:c r="AD213" s="271"/>
      <x:c r="AE213" s="271"/>
      <x:c r="AF213" s="271"/>
      <x:c r="AG213" s="271"/>
    </x:row>
    <x:row r="214">
      <x:c r="A214" s="272"/>
      <x:c r="B214" s="272"/>
      <x:c r="C214" s="272"/>
      <x:c r="D214" s="272"/>
      <x:c r="E214" s="272"/>
      <x:c r="F214" s="272"/>
      <x:c r="G214" s="272"/>
      <x:c r="H214" s="272"/>
      <x:c r="I214" s="272"/>
      <x:c r="J214" s="272"/>
      <x:c r="K214" s="272"/>
      <x:c r="L214" s="272"/>
      <x:c r="M214" s="272"/>
      <x:c r="N214" s="272"/>
      <x:c r="O214" s="272"/>
      <x:c r="P214" s="272"/>
      <x:c r="Q214" s="272"/>
      <x:c r="R214" s="272"/>
      <x:c r="S214" s="272"/>
      <x:c r="T214" s="272"/>
      <x:c r="U214" s="272"/>
      <x:c r="V214" s="272"/>
      <x:c r="W214" s="272"/>
      <x:c r="X214" s="272"/>
      <x:c r="Y214" s="271"/>
      <x:c r="Z214" s="271"/>
      <x:c r="AA214" s="271"/>
      <x:c r="AB214" s="271"/>
      <x:c r="AC214" s="271"/>
      <x:c r="AD214" s="271"/>
      <x:c r="AE214" s="271"/>
      <x:c r="AF214" s="271"/>
      <x:c r="AG214" s="271"/>
    </x:row>
    <x:row r="215">
      <x:c r="A215" s="272"/>
      <x:c r="B215" s="272"/>
      <x:c r="C215" s="272"/>
      <x:c r="D215" s="272"/>
      <x:c r="E215" s="272"/>
      <x:c r="F215" s="272"/>
      <x:c r="G215" s="272"/>
      <x:c r="H215" s="272"/>
      <x:c r="I215" s="272"/>
      <x:c r="J215" s="272"/>
      <x:c r="K215" s="272"/>
      <x:c r="L215" s="272"/>
      <x:c r="M215" s="272"/>
      <x:c r="N215" s="272"/>
      <x:c r="O215" s="272"/>
      <x:c r="P215" s="272"/>
      <x:c r="Q215" s="272"/>
      <x:c r="R215" s="272"/>
      <x:c r="S215" s="272"/>
      <x:c r="T215" s="272"/>
      <x:c r="U215" s="272"/>
      <x:c r="V215" s="272"/>
      <x:c r="W215" s="272"/>
      <x:c r="X215" s="272"/>
      <x:c r="Y215" s="271"/>
      <x:c r="Z215" s="271"/>
      <x:c r="AA215" s="271"/>
      <x:c r="AB215" s="271"/>
      <x:c r="AC215" s="271"/>
      <x:c r="AD215" s="271"/>
      <x:c r="AE215" s="271"/>
      <x:c r="AF215" s="271"/>
      <x:c r="AG215" s="271"/>
    </x:row>
    <x:row r="216">
      <x:c r="A216" s="272"/>
      <x:c r="B216" s="272"/>
      <x:c r="C216" s="272"/>
      <x:c r="D216" s="272"/>
      <x:c r="E216" s="272"/>
      <x:c r="F216" s="272"/>
      <x:c r="G216" s="272"/>
      <x:c r="H216" s="272"/>
      <x:c r="I216" s="272"/>
      <x:c r="J216" s="272"/>
      <x:c r="K216" s="272"/>
      <x:c r="L216" s="272"/>
      <x:c r="M216" s="272"/>
      <x:c r="N216" s="272"/>
      <x:c r="O216" s="272"/>
      <x:c r="P216" s="272"/>
      <x:c r="Q216" s="272"/>
      <x:c r="R216" s="272"/>
      <x:c r="S216" s="272"/>
      <x:c r="T216" s="272"/>
      <x:c r="U216" s="272"/>
      <x:c r="V216" s="272"/>
      <x:c r="W216" s="272"/>
      <x:c r="X216" s="272"/>
      <x:c r="Y216" s="271"/>
      <x:c r="Z216" s="271"/>
      <x:c r="AA216" s="271"/>
      <x:c r="AB216" s="271"/>
      <x:c r="AC216" s="271"/>
      <x:c r="AD216" s="271"/>
      <x:c r="AE216" s="271"/>
      <x:c r="AF216" s="271"/>
      <x:c r="AG216" s="271"/>
    </x:row>
    <x:row r="217">
      <x:c r="A217" s="272"/>
      <x:c r="B217" s="272"/>
      <x:c r="C217" s="272"/>
      <x:c r="D217" s="272"/>
      <x:c r="E217" s="272"/>
      <x:c r="F217" s="272"/>
      <x:c r="G217" s="272"/>
      <x:c r="H217" s="272"/>
      <x:c r="I217" s="272"/>
      <x:c r="J217" s="272"/>
      <x:c r="K217" s="272"/>
      <x:c r="L217" s="272"/>
      <x:c r="M217" s="272"/>
      <x:c r="N217" s="272"/>
      <x:c r="O217" s="272"/>
      <x:c r="P217" s="272"/>
      <x:c r="Q217" s="272"/>
      <x:c r="R217" s="272"/>
      <x:c r="S217" s="272"/>
      <x:c r="T217" s="272"/>
      <x:c r="U217" s="272"/>
      <x:c r="V217" s="272"/>
      <x:c r="W217" s="272"/>
      <x:c r="X217" s="272"/>
      <x:c r="Y217" s="271"/>
      <x:c r="Z217" s="271"/>
      <x:c r="AA217" s="271"/>
      <x:c r="AB217" s="271"/>
      <x:c r="AC217" s="271"/>
      <x:c r="AD217" s="271"/>
      <x:c r="AE217" s="271"/>
      <x:c r="AF217" s="271"/>
      <x:c r="AG217" s="271"/>
    </x:row>
    <x:row r="218">
      <x:c r="A218" s="272"/>
      <x:c r="B218" s="272"/>
      <x:c r="C218" s="272"/>
      <x:c r="D218" s="272"/>
      <x:c r="E218" s="272"/>
      <x:c r="F218" s="272"/>
      <x:c r="G218" s="272"/>
      <x:c r="H218" s="272"/>
      <x:c r="I218" s="272"/>
      <x:c r="J218" s="272"/>
      <x:c r="K218" s="272"/>
      <x:c r="L218" s="272"/>
      <x:c r="M218" s="272"/>
      <x:c r="N218" s="272"/>
      <x:c r="O218" s="272"/>
      <x:c r="P218" s="272"/>
      <x:c r="Q218" s="272"/>
      <x:c r="R218" s="272"/>
      <x:c r="S218" s="272"/>
      <x:c r="T218" s="272"/>
      <x:c r="U218" s="272"/>
      <x:c r="V218" s="272"/>
      <x:c r="W218" s="272"/>
      <x:c r="X218" s="272"/>
      <x:c r="Y218" s="271"/>
      <x:c r="Z218" s="271"/>
      <x:c r="AA218" s="271"/>
      <x:c r="AB218" s="271"/>
      <x:c r="AC218" s="271"/>
      <x:c r="AD218" s="271"/>
      <x:c r="AE218" s="271"/>
      <x:c r="AF218" s="271"/>
      <x:c r="AG218" s="271"/>
    </x:row>
    <x:row r="219">
      <x:c r="A219" s="272"/>
      <x:c r="B219" s="272"/>
      <x:c r="C219" s="272"/>
      <x:c r="D219" s="272"/>
      <x:c r="E219" s="272"/>
      <x:c r="F219" s="272"/>
      <x:c r="G219" s="272"/>
      <x:c r="H219" s="272"/>
      <x:c r="I219" s="272"/>
      <x:c r="J219" s="272"/>
      <x:c r="K219" s="272"/>
      <x:c r="L219" s="272"/>
      <x:c r="M219" s="272"/>
      <x:c r="N219" s="272"/>
      <x:c r="O219" s="272"/>
      <x:c r="P219" s="272"/>
      <x:c r="Q219" s="272"/>
      <x:c r="R219" s="272"/>
      <x:c r="S219" s="272"/>
      <x:c r="T219" s="272"/>
      <x:c r="U219" s="272"/>
      <x:c r="V219" s="272"/>
      <x:c r="W219" s="272"/>
      <x:c r="X219" s="272"/>
      <x:c r="Y219" s="271"/>
      <x:c r="Z219" s="271"/>
      <x:c r="AA219" s="271"/>
      <x:c r="AB219" s="271"/>
      <x:c r="AC219" s="271"/>
      <x:c r="AD219" s="271"/>
      <x:c r="AE219" s="271"/>
      <x:c r="AF219" s="271"/>
      <x:c r="AG219" s="271"/>
    </x:row>
    <x:row r="220">
      <x:c r="A220" s="272"/>
      <x:c r="B220" s="272"/>
      <x:c r="C220" s="272"/>
      <x:c r="D220" s="272"/>
      <x:c r="E220" s="272"/>
      <x:c r="F220" s="272"/>
      <x:c r="G220" s="272"/>
      <x:c r="H220" s="272"/>
      <x:c r="I220" s="272"/>
      <x:c r="J220" s="272"/>
      <x:c r="K220" s="272"/>
      <x:c r="L220" s="272"/>
      <x:c r="M220" s="272"/>
      <x:c r="N220" s="272"/>
      <x:c r="O220" s="272"/>
      <x:c r="P220" s="272"/>
      <x:c r="Q220" s="272"/>
      <x:c r="R220" s="272"/>
      <x:c r="S220" s="272"/>
      <x:c r="T220" s="272"/>
      <x:c r="U220" s="272"/>
      <x:c r="V220" s="272"/>
      <x:c r="W220" s="272"/>
      <x:c r="X220" s="272"/>
      <x:c r="Y220" s="271"/>
      <x:c r="Z220" s="271"/>
      <x:c r="AA220" s="271"/>
      <x:c r="AB220" s="271"/>
      <x:c r="AC220" s="271"/>
      <x:c r="AD220" s="271"/>
      <x:c r="AE220" s="271"/>
      <x:c r="AF220" s="271"/>
      <x:c r="AG220" s="271"/>
    </x:row>
    <x:row r="221">
      <x:c r="A221" s="272"/>
      <x:c r="B221" s="272"/>
      <x:c r="C221" s="272"/>
      <x:c r="D221" s="272"/>
      <x:c r="E221" s="272"/>
      <x:c r="F221" s="272"/>
      <x:c r="G221" s="272"/>
      <x:c r="H221" s="272"/>
      <x:c r="I221" s="272"/>
      <x:c r="J221" s="272"/>
      <x:c r="K221" s="272"/>
      <x:c r="L221" s="272"/>
      <x:c r="M221" s="272"/>
      <x:c r="N221" s="272"/>
      <x:c r="O221" s="272"/>
      <x:c r="P221" s="272"/>
      <x:c r="Q221" s="272"/>
      <x:c r="R221" s="272"/>
      <x:c r="S221" s="272"/>
      <x:c r="T221" s="272"/>
      <x:c r="U221" s="272"/>
      <x:c r="V221" s="272"/>
      <x:c r="W221" s="272"/>
      <x:c r="X221" s="272"/>
      <x:c r="Y221" s="271"/>
      <x:c r="Z221" s="271"/>
      <x:c r="AA221" s="271"/>
      <x:c r="AB221" s="271"/>
      <x:c r="AC221" s="271"/>
      <x:c r="AD221" s="271"/>
      <x:c r="AE221" s="271"/>
      <x:c r="AF221" s="271"/>
      <x:c r="AG221" s="271"/>
    </x:row>
    <x:row r="222">
      <x:c r="A222" s="272"/>
      <x:c r="B222" s="272"/>
      <x:c r="C222" s="272"/>
      <x:c r="D222" s="272"/>
      <x:c r="E222" s="272"/>
      <x:c r="F222" s="272"/>
      <x:c r="G222" s="272"/>
      <x:c r="H222" s="272"/>
      <x:c r="I222" s="272"/>
      <x:c r="J222" s="272"/>
      <x:c r="K222" s="272"/>
      <x:c r="L222" s="272"/>
      <x:c r="M222" s="272"/>
      <x:c r="N222" s="272"/>
      <x:c r="O222" s="272"/>
      <x:c r="P222" s="272"/>
      <x:c r="Q222" s="272"/>
      <x:c r="R222" s="272"/>
      <x:c r="S222" s="272"/>
      <x:c r="T222" s="272"/>
      <x:c r="U222" s="272"/>
      <x:c r="V222" s="272"/>
      <x:c r="W222" s="272"/>
      <x:c r="X222" s="272"/>
      <x:c r="Y222" s="271"/>
      <x:c r="Z222" s="271"/>
      <x:c r="AA222" s="271"/>
      <x:c r="AB222" s="271"/>
      <x:c r="AC222" s="271"/>
      <x:c r="AD222" s="271"/>
      <x:c r="AE222" s="271"/>
      <x:c r="AF222" s="271"/>
      <x:c r="AG222" s="271"/>
    </x:row>
    <x:row r="223">
      <x:c r="A223" s="272"/>
      <x:c r="B223" s="272"/>
      <x:c r="C223" s="272"/>
      <x:c r="D223" s="272"/>
      <x:c r="E223" s="272"/>
      <x:c r="F223" s="272"/>
      <x:c r="G223" s="272"/>
      <x:c r="H223" s="272"/>
      <x:c r="I223" s="272"/>
      <x:c r="J223" s="272"/>
      <x:c r="K223" s="272"/>
      <x:c r="L223" s="272"/>
      <x:c r="M223" s="272"/>
      <x:c r="N223" s="272"/>
      <x:c r="O223" s="272"/>
      <x:c r="P223" s="272"/>
      <x:c r="Q223" s="272"/>
      <x:c r="R223" s="272"/>
      <x:c r="S223" s="272"/>
      <x:c r="T223" s="272"/>
      <x:c r="U223" s="272"/>
      <x:c r="V223" s="272"/>
      <x:c r="W223" s="272"/>
      <x:c r="X223" s="272"/>
      <x:c r="Y223" s="271"/>
      <x:c r="Z223" s="271"/>
      <x:c r="AA223" s="271"/>
      <x:c r="AB223" s="271"/>
      <x:c r="AC223" s="271"/>
      <x:c r="AD223" s="271"/>
      <x:c r="AE223" s="271"/>
      <x:c r="AF223" s="271"/>
      <x:c r="AG223" s="271"/>
    </x:row>
    <x:row r="224">
      <x:c r="A224" s="272"/>
      <x:c r="B224" s="272"/>
      <x:c r="C224" s="272"/>
      <x:c r="D224" s="272"/>
      <x:c r="E224" s="272"/>
      <x:c r="F224" s="272"/>
      <x:c r="G224" s="272"/>
      <x:c r="H224" s="272"/>
      <x:c r="I224" s="272"/>
      <x:c r="J224" s="272"/>
      <x:c r="K224" s="272"/>
      <x:c r="L224" s="272"/>
      <x:c r="M224" s="272"/>
      <x:c r="N224" s="272"/>
      <x:c r="O224" s="272"/>
      <x:c r="P224" s="272"/>
      <x:c r="Q224" s="272"/>
      <x:c r="R224" s="272"/>
      <x:c r="S224" s="272"/>
      <x:c r="T224" s="272"/>
      <x:c r="U224" s="272"/>
      <x:c r="V224" s="272"/>
      <x:c r="W224" s="272"/>
      <x:c r="X224" s="272"/>
      <x:c r="Y224" s="271"/>
      <x:c r="Z224" s="271"/>
      <x:c r="AA224" s="271"/>
      <x:c r="AB224" s="271"/>
      <x:c r="AC224" s="271"/>
      <x:c r="AD224" s="271"/>
      <x:c r="AE224" s="271"/>
      <x:c r="AF224" s="271"/>
      <x:c r="AG224" s="271"/>
    </x:row>
    <x:row r="225">
      <x:c r="A225" s="272"/>
      <x:c r="B225" s="272"/>
      <x:c r="C225" s="272"/>
      <x:c r="D225" s="272"/>
      <x:c r="E225" s="272"/>
      <x:c r="F225" s="272"/>
      <x:c r="G225" s="272"/>
      <x:c r="H225" s="272"/>
      <x:c r="I225" s="272"/>
      <x:c r="J225" s="272"/>
      <x:c r="K225" s="272"/>
      <x:c r="L225" s="272"/>
      <x:c r="M225" s="272"/>
      <x:c r="N225" s="272"/>
      <x:c r="O225" s="272"/>
      <x:c r="P225" s="272"/>
      <x:c r="Q225" s="272"/>
      <x:c r="R225" s="272"/>
      <x:c r="S225" s="272"/>
      <x:c r="T225" s="272"/>
      <x:c r="U225" s="272"/>
      <x:c r="V225" s="272"/>
      <x:c r="W225" s="272"/>
      <x:c r="X225" s="272"/>
      <x:c r="Y225" s="271"/>
      <x:c r="Z225" s="271"/>
      <x:c r="AA225" s="271"/>
      <x:c r="AB225" s="271"/>
      <x:c r="AC225" s="271"/>
      <x:c r="AD225" s="271"/>
      <x:c r="AE225" s="271"/>
      <x:c r="AF225" s="271"/>
      <x:c r="AG225" s="271"/>
    </x:row>
    <x:row r="226">
      <x:c r="A226" s="272"/>
      <x:c r="B226" s="272"/>
      <x:c r="C226" s="272"/>
      <x:c r="D226" s="272"/>
      <x:c r="E226" s="272"/>
      <x:c r="F226" s="272"/>
      <x:c r="G226" s="272"/>
      <x:c r="H226" s="272"/>
      <x:c r="I226" s="272"/>
      <x:c r="J226" s="272"/>
      <x:c r="K226" s="272"/>
      <x:c r="L226" s="272"/>
      <x:c r="M226" s="272"/>
      <x:c r="N226" s="272"/>
      <x:c r="O226" s="272"/>
      <x:c r="P226" s="272"/>
      <x:c r="Q226" s="272"/>
      <x:c r="R226" s="272"/>
      <x:c r="S226" s="272"/>
      <x:c r="T226" s="272"/>
      <x:c r="U226" s="272"/>
      <x:c r="V226" s="272"/>
      <x:c r="W226" s="272"/>
      <x:c r="X226" s="272"/>
      <x:c r="Y226" s="271"/>
      <x:c r="Z226" s="271"/>
      <x:c r="AA226" s="271"/>
      <x:c r="AB226" s="271"/>
      <x:c r="AC226" s="271"/>
      <x:c r="AD226" s="271"/>
      <x:c r="AE226" s="271"/>
      <x:c r="AF226" s="271"/>
      <x:c r="AG226" s="271"/>
    </x:row>
    <x:row r="227">
      <x:c r="A227" s="272"/>
      <x:c r="B227" s="272"/>
      <x:c r="C227" s="272"/>
      <x:c r="D227" s="272"/>
      <x:c r="E227" s="272"/>
      <x:c r="F227" s="272"/>
      <x:c r="G227" s="272"/>
      <x:c r="H227" s="272"/>
      <x:c r="I227" s="272"/>
      <x:c r="J227" s="272"/>
      <x:c r="K227" s="272"/>
      <x:c r="L227" s="272"/>
      <x:c r="M227" s="272"/>
      <x:c r="N227" s="272"/>
      <x:c r="O227" s="272"/>
      <x:c r="P227" s="272"/>
      <x:c r="Q227" s="272"/>
      <x:c r="R227" s="272"/>
      <x:c r="S227" s="272"/>
      <x:c r="T227" s="272"/>
      <x:c r="U227" s="272"/>
      <x:c r="V227" s="272"/>
      <x:c r="W227" s="272"/>
      <x:c r="X227" s="272"/>
      <x:c r="Y227" s="271"/>
      <x:c r="Z227" s="271"/>
      <x:c r="AA227" s="271"/>
      <x:c r="AB227" s="271"/>
      <x:c r="AC227" s="271"/>
      <x:c r="AD227" s="271"/>
      <x:c r="AE227" s="271"/>
      <x:c r="AF227" s="271"/>
      <x:c r="AG227" s="271"/>
    </x:row>
    <x:row r="228">
      <x:c r="A228" s="272"/>
      <x:c r="B228" s="272"/>
      <x:c r="C228" s="272"/>
      <x:c r="D228" s="272"/>
      <x:c r="E228" s="272"/>
      <x:c r="F228" s="272"/>
      <x:c r="G228" s="272"/>
      <x:c r="H228" s="272"/>
      <x:c r="I228" s="272"/>
      <x:c r="J228" s="272"/>
      <x:c r="K228" s="272"/>
      <x:c r="L228" s="272"/>
      <x:c r="M228" s="272"/>
      <x:c r="N228" s="272"/>
      <x:c r="O228" s="272"/>
      <x:c r="P228" s="272"/>
      <x:c r="Q228" s="272"/>
      <x:c r="R228" s="272"/>
      <x:c r="S228" s="272"/>
      <x:c r="T228" s="272"/>
      <x:c r="U228" s="272"/>
      <x:c r="V228" s="272"/>
      <x:c r="W228" s="272"/>
      <x:c r="X228" s="272"/>
      <x:c r="Y228" s="271"/>
      <x:c r="Z228" s="271"/>
      <x:c r="AA228" s="271"/>
      <x:c r="AB228" s="271"/>
      <x:c r="AC228" s="271"/>
      <x:c r="AD228" s="271"/>
      <x:c r="AE228" s="271"/>
      <x:c r="AF228" s="271"/>
      <x:c r="AG228" s="271"/>
    </x:row>
    <x:row r="229">
      <x:c r="A229" s="272"/>
      <x:c r="B229" s="272"/>
      <x:c r="C229" s="272"/>
      <x:c r="D229" s="272"/>
      <x:c r="E229" s="272"/>
      <x:c r="F229" s="272"/>
      <x:c r="G229" s="272"/>
      <x:c r="H229" s="272"/>
      <x:c r="I229" s="272"/>
      <x:c r="J229" s="272"/>
      <x:c r="K229" s="272"/>
      <x:c r="L229" s="272"/>
      <x:c r="M229" s="272"/>
      <x:c r="N229" s="272"/>
      <x:c r="O229" s="272"/>
      <x:c r="P229" s="272"/>
      <x:c r="Q229" s="272"/>
      <x:c r="R229" s="272"/>
      <x:c r="S229" s="272"/>
      <x:c r="T229" s="272"/>
      <x:c r="U229" s="272"/>
      <x:c r="V229" s="272"/>
      <x:c r="W229" s="272"/>
      <x:c r="X229" s="272"/>
      <x:c r="Y229" s="271"/>
      <x:c r="Z229" s="271"/>
      <x:c r="AA229" s="271"/>
      <x:c r="AB229" s="271"/>
      <x:c r="AC229" s="271"/>
      <x:c r="AD229" s="271"/>
      <x:c r="AE229" s="271"/>
      <x:c r="AF229" s="271"/>
      <x:c r="AG229" s="271"/>
    </x:row>
    <x:row r="230">
      <x:c r="A230" s="272"/>
      <x:c r="B230" s="272"/>
      <x:c r="C230" s="272"/>
      <x:c r="D230" s="272"/>
      <x:c r="E230" s="272"/>
      <x:c r="F230" s="272"/>
      <x:c r="G230" s="272"/>
      <x:c r="H230" s="272"/>
      <x:c r="I230" s="272"/>
      <x:c r="J230" s="272"/>
      <x:c r="K230" s="272"/>
      <x:c r="L230" s="272"/>
      <x:c r="M230" s="272"/>
      <x:c r="N230" s="272"/>
      <x:c r="O230" s="272"/>
      <x:c r="P230" s="272"/>
      <x:c r="Q230" s="272"/>
      <x:c r="R230" s="272"/>
      <x:c r="S230" s="272"/>
      <x:c r="T230" s="272"/>
      <x:c r="U230" s="272"/>
      <x:c r="V230" s="272"/>
      <x:c r="W230" s="272"/>
      <x:c r="X230" s="272"/>
      <x:c r="Y230" s="271"/>
      <x:c r="Z230" s="271"/>
      <x:c r="AA230" s="271"/>
      <x:c r="AB230" s="271"/>
      <x:c r="AC230" s="271"/>
      <x:c r="AD230" s="271"/>
      <x:c r="AE230" s="271"/>
      <x:c r="AF230" s="271"/>
      <x:c r="AG230" s="271"/>
    </x:row>
    <x:row r="231">
      <x:c r="A231" s="272"/>
      <x:c r="B231" s="272"/>
      <x:c r="C231" s="272"/>
      <x:c r="D231" s="272"/>
      <x:c r="E231" s="272"/>
      <x:c r="F231" s="272"/>
      <x:c r="G231" s="272"/>
      <x:c r="H231" s="272"/>
      <x:c r="I231" s="272"/>
      <x:c r="J231" s="272"/>
      <x:c r="K231" s="272"/>
      <x:c r="L231" s="272"/>
      <x:c r="M231" s="272"/>
      <x:c r="N231" s="272"/>
      <x:c r="O231" s="272"/>
      <x:c r="P231" s="272"/>
      <x:c r="Q231" s="272"/>
      <x:c r="R231" s="272"/>
      <x:c r="S231" s="272"/>
      <x:c r="T231" s="272"/>
      <x:c r="U231" s="272"/>
      <x:c r="V231" s="272"/>
      <x:c r="W231" s="272"/>
      <x:c r="X231" s="272"/>
      <x:c r="Y231" s="271"/>
      <x:c r="Z231" s="271"/>
      <x:c r="AA231" s="271"/>
      <x:c r="AB231" s="271"/>
      <x:c r="AC231" s="271"/>
      <x:c r="AD231" s="271"/>
      <x:c r="AE231" s="271"/>
      <x:c r="AF231" s="271"/>
      <x:c r="AG231" s="271"/>
    </x:row>
    <x:row r="232">
      <x:c r="A232" s="272"/>
      <x:c r="B232" s="272"/>
      <x:c r="C232" s="272"/>
      <x:c r="D232" s="272"/>
      <x:c r="E232" s="272"/>
      <x:c r="F232" s="272"/>
      <x:c r="G232" s="272"/>
      <x:c r="H232" s="272"/>
      <x:c r="I232" s="272"/>
      <x:c r="J232" s="272"/>
      <x:c r="K232" s="272"/>
      <x:c r="L232" s="272"/>
      <x:c r="M232" s="272"/>
      <x:c r="N232" s="272"/>
      <x:c r="O232" s="272"/>
      <x:c r="P232" s="272"/>
      <x:c r="Q232" s="272"/>
      <x:c r="R232" s="272"/>
      <x:c r="S232" s="272"/>
      <x:c r="T232" s="272"/>
      <x:c r="U232" s="272"/>
      <x:c r="V232" s="272"/>
      <x:c r="W232" s="272"/>
      <x:c r="X232" s="272"/>
      <x:c r="Y232" s="271"/>
      <x:c r="Z232" s="271"/>
      <x:c r="AA232" s="271"/>
      <x:c r="AB232" s="271"/>
      <x:c r="AC232" s="271"/>
      <x:c r="AD232" s="271"/>
      <x:c r="AE232" s="271"/>
      <x:c r="AF232" s="271"/>
      <x:c r="AG232" s="271"/>
    </x:row>
    <x:row r="233">
      <x:c r="A233" s="272"/>
      <x:c r="B233" s="272"/>
      <x:c r="C233" s="272"/>
      <x:c r="D233" s="272"/>
      <x:c r="E233" s="272"/>
      <x:c r="F233" s="272"/>
      <x:c r="G233" s="272"/>
      <x:c r="H233" s="272"/>
      <x:c r="I233" s="272"/>
      <x:c r="J233" s="272"/>
      <x:c r="K233" s="272"/>
      <x:c r="L233" s="272"/>
      <x:c r="M233" s="272"/>
      <x:c r="N233" s="272"/>
      <x:c r="O233" s="272"/>
      <x:c r="P233" s="272"/>
      <x:c r="Q233" s="272"/>
      <x:c r="R233" s="272"/>
      <x:c r="S233" s="272"/>
      <x:c r="T233" s="272"/>
      <x:c r="U233" s="272"/>
      <x:c r="V233" s="272"/>
      <x:c r="W233" s="272"/>
      <x:c r="X233" s="272"/>
      <x:c r="Y233" s="271"/>
      <x:c r="Z233" s="271"/>
      <x:c r="AA233" s="271"/>
      <x:c r="AB233" s="271"/>
      <x:c r="AC233" s="271"/>
      <x:c r="AD233" s="271"/>
      <x:c r="AE233" s="271"/>
      <x:c r="AF233" s="271"/>
      <x:c r="AG233" s="271"/>
    </x:row>
    <x:row r="234">
      <x:c r="A234" s="272"/>
      <x:c r="B234" s="272"/>
      <x:c r="C234" s="272"/>
      <x:c r="D234" s="272"/>
      <x:c r="E234" s="272"/>
      <x:c r="F234" s="272"/>
      <x:c r="G234" s="272"/>
      <x:c r="H234" s="272"/>
      <x:c r="I234" s="272"/>
      <x:c r="J234" s="272"/>
      <x:c r="K234" s="272"/>
      <x:c r="L234" s="272"/>
      <x:c r="M234" s="272"/>
      <x:c r="N234" s="272"/>
      <x:c r="O234" s="272"/>
      <x:c r="P234" s="272"/>
      <x:c r="Q234" s="272"/>
      <x:c r="R234" s="272"/>
      <x:c r="S234" s="272"/>
      <x:c r="T234" s="272"/>
      <x:c r="U234" s="272"/>
      <x:c r="V234" s="272"/>
      <x:c r="W234" s="272"/>
      <x:c r="X234" s="272"/>
      <x:c r="Y234" s="271"/>
      <x:c r="Z234" s="271"/>
      <x:c r="AA234" s="271"/>
      <x:c r="AB234" s="271"/>
      <x:c r="AC234" s="271"/>
      <x:c r="AD234" s="271"/>
      <x:c r="AE234" s="271"/>
      <x:c r="AF234" s="271"/>
      <x:c r="AG234" s="271"/>
    </x:row>
    <x:row r="235">
      <x:c r="A235" s="272"/>
      <x:c r="B235" s="272"/>
      <x:c r="C235" s="272"/>
      <x:c r="D235" s="272"/>
      <x:c r="E235" s="272"/>
      <x:c r="F235" s="272"/>
      <x:c r="G235" s="272"/>
      <x:c r="H235" s="272"/>
      <x:c r="I235" s="272"/>
      <x:c r="J235" s="272"/>
      <x:c r="K235" s="272"/>
      <x:c r="L235" s="272"/>
      <x:c r="M235" s="272"/>
      <x:c r="N235" s="272"/>
      <x:c r="O235" s="272"/>
      <x:c r="P235" s="272"/>
      <x:c r="Q235" s="272"/>
      <x:c r="R235" s="272"/>
      <x:c r="S235" s="272"/>
      <x:c r="T235" s="272"/>
      <x:c r="U235" s="272"/>
      <x:c r="V235" s="272"/>
      <x:c r="W235" s="272"/>
      <x:c r="X235" s="272"/>
      <x:c r="Y235" s="271"/>
      <x:c r="Z235" s="271"/>
      <x:c r="AA235" s="271"/>
      <x:c r="AB235" s="271"/>
      <x:c r="AC235" s="271"/>
      <x:c r="AD235" s="271"/>
      <x:c r="AE235" s="271"/>
      <x:c r="AF235" s="271"/>
      <x:c r="AG235" s="271"/>
    </x:row>
    <x:row r="236">
      <x:c r="A236" s="272"/>
      <x:c r="B236" s="272"/>
      <x:c r="C236" s="272"/>
      <x:c r="D236" s="272"/>
      <x:c r="E236" s="272"/>
      <x:c r="F236" s="272"/>
      <x:c r="G236" s="272"/>
      <x:c r="H236" s="272"/>
      <x:c r="I236" s="272"/>
      <x:c r="J236" s="272"/>
      <x:c r="K236" s="272"/>
      <x:c r="L236" s="272"/>
      <x:c r="M236" s="272"/>
      <x:c r="N236" s="272"/>
      <x:c r="O236" s="272"/>
      <x:c r="P236" s="272"/>
      <x:c r="Q236" s="272"/>
      <x:c r="R236" s="272"/>
      <x:c r="S236" s="272"/>
      <x:c r="T236" s="272"/>
      <x:c r="U236" s="272"/>
      <x:c r="V236" s="272"/>
      <x:c r="W236" s="272"/>
      <x:c r="X236" s="272"/>
      <x:c r="Y236" s="271"/>
      <x:c r="Z236" s="271"/>
      <x:c r="AA236" s="271"/>
      <x:c r="AB236" s="271"/>
      <x:c r="AC236" s="271"/>
      <x:c r="AD236" s="271"/>
      <x:c r="AE236" s="271"/>
      <x:c r="AF236" s="271"/>
      <x:c r="AG236" s="271"/>
    </x:row>
    <x:row r="237">
      <x:c r="A237" s="272"/>
      <x:c r="B237" s="272"/>
      <x:c r="C237" s="272"/>
      <x:c r="D237" s="272"/>
      <x:c r="E237" s="272"/>
      <x:c r="F237" s="272"/>
      <x:c r="G237" s="272"/>
      <x:c r="H237" s="272"/>
      <x:c r="I237" s="272"/>
      <x:c r="J237" s="272"/>
      <x:c r="K237" s="272"/>
      <x:c r="L237" s="272"/>
      <x:c r="M237" s="272"/>
      <x:c r="N237" s="272"/>
      <x:c r="O237" s="272"/>
      <x:c r="P237" s="272"/>
      <x:c r="Q237" s="272"/>
      <x:c r="R237" s="272"/>
      <x:c r="S237" s="272"/>
      <x:c r="T237" s="272"/>
      <x:c r="U237" s="272"/>
      <x:c r="V237" s="272"/>
      <x:c r="W237" s="272"/>
      <x:c r="X237" s="272"/>
      <x:c r="Y237" s="271"/>
      <x:c r="Z237" s="271"/>
      <x:c r="AA237" s="271"/>
      <x:c r="AB237" s="271"/>
      <x:c r="AC237" s="271"/>
      <x:c r="AD237" s="271"/>
      <x:c r="AE237" s="271"/>
      <x:c r="AF237" s="271"/>
      <x:c r="AG237" s="271"/>
    </x:row>
    <x:row r="238">
      <x:c r="A238" s="272"/>
      <x:c r="B238" s="272"/>
      <x:c r="C238" s="272"/>
      <x:c r="D238" s="272"/>
      <x:c r="E238" s="272"/>
      <x:c r="F238" s="272"/>
      <x:c r="G238" s="272"/>
      <x:c r="H238" s="272"/>
      <x:c r="I238" s="272"/>
      <x:c r="J238" s="272"/>
      <x:c r="K238" s="272"/>
      <x:c r="L238" s="272"/>
      <x:c r="M238" s="272"/>
      <x:c r="N238" s="272"/>
      <x:c r="O238" s="272"/>
      <x:c r="P238" s="272"/>
      <x:c r="Q238" s="272"/>
      <x:c r="R238" s="272"/>
      <x:c r="S238" s="272"/>
      <x:c r="T238" s="272"/>
      <x:c r="U238" s="272"/>
      <x:c r="V238" s="272"/>
      <x:c r="W238" s="272"/>
      <x:c r="X238" s="272"/>
      <x:c r="Y238" s="271"/>
      <x:c r="Z238" s="271"/>
      <x:c r="AA238" s="271"/>
      <x:c r="AB238" s="271"/>
      <x:c r="AC238" s="271"/>
      <x:c r="AD238" s="271"/>
      <x:c r="AE238" s="271"/>
      <x:c r="AF238" s="271"/>
      <x:c r="AG238" s="271"/>
    </x:row>
    <x:row r="239">
      <x:c r="A239" s="272"/>
      <x:c r="B239" s="272"/>
      <x:c r="C239" s="272"/>
      <x:c r="D239" s="272"/>
      <x:c r="E239" s="272"/>
      <x:c r="F239" s="272"/>
      <x:c r="G239" s="272"/>
      <x:c r="H239" s="272"/>
      <x:c r="I239" s="272"/>
      <x:c r="J239" s="272"/>
      <x:c r="K239" s="272"/>
      <x:c r="L239" s="272"/>
      <x:c r="M239" s="272"/>
      <x:c r="N239" s="272"/>
      <x:c r="O239" s="272"/>
      <x:c r="P239" s="272"/>
      <x:c r="Q239" s="272"/>
      <x:c r="R239" s="272"/>
      <x:c r="S239" s="272"/>
      <x:c r="T239" s="272"/>
      <x:c r="U239" s="272"/>
      <x:c r="V239" s="272"/>
      <x:c r="W239" s="272"/>
      <x:c r="X239" s="272"/>
      <x:c r="Y239" s="271"/>
      <x:c r="Z239" s="271"/>
      <x:c r="AA239" s="271"/>
      <x:c r="AB239" s="271"/>
      <x:c r="AC239" s="271"/>
      <x:c r="AD239" s="271"/>
      <x:c r="AE239" s="271"/>
      <x:c r="AF239" s="271"/>
      <x:c r="AG239" s="271"/>
    </x:row>
    <x:row r="240">
      <x:c r="A240" s="272"/>
      <x:c r="B240" s="272"/>
      <x:c r="C240" s="272"/>
      <x:c r="D240" s="272"/>
      <x:c r="E240" s="272"/>
      <x:c r="F240" s="272"/>
      <x:c r="G240" s="272"/>
      <x:c r="H240" s="272"/>
      <x:c r="I240" s="272"/>
      <x:c r="J240" s="272"/>
      <x:c r="K240" s="272"/>
      <x:c r="L240" s="272"/>
      <x:c r="M240" s="272"/>
      <x:c r="N240" s="272"/>
      <x:c r="O240" s="272"/>
      <x:c r="P240" s="272"/>
      <x:c r="Q240" s="272"/>
      <x:c r="R240" s="272"/>
      <x:c r="S240" s="272"/>
      <x:c r="T240" s="272"/>
      <x:c r="U240" s="272"/>
      <x:c r="V240" s="272"/>
      <x:c r="W240" s="272"/>
      <x:c r="X240" s="272"/>
      <x:c r="Y240" s="271"/>
      <x:c r="Z240" s="271"/>
      <x:c r="AA240" s="271"/>
      <x:c r="AB240" s="271"/>
      <x:c r="AC240" s="271"/>
      <x:c r="AD240" s="271"/>
      <x:c r="AE240" s="271"/>
      <x:c r="AF240" s="271"/>
      <x:c r="AG240" s="271"/>
    </x:row>
    <x:row r="241">
      <x:c r="A241" s="272"/>
      <x:c r="B241" s="272"/>
      <x:c r="C241" s="272"/>
      <x:c r="D241" s="272"/>
      <x:c r="E241" s="272"/>
      <x:c r="F241" s="272"/>
      <x:c r="G241" s="272"/>
      <x:c r="H241" s="272"/>
      <x:c r="I241" s="272"/>
      <x:c r="J241" s="272"/>
      <x:c r="K241" s="272"/>
      <x:c r="L241" s="272"/>
      <x:c r="M241" s="272"/>
      <x:c r="N241" s="272"/>
      <x:c r="O241" s="272"/>
      <x:c r="P241" s="272"/>
      <x:c r="Q241" s="272"/>
      <x:c r="R241" s="272"/>
      <x:c r="S241" s="272"/>
      <x:c r="T241" s="272"/>
      <x:c r="U241" s="272"/>
      <x:c r="V241" s="272"/>
      <x:c r="W241" s="272"/>
      <x:c r="X241" s="272"/>
      <x:c r="Y241" s="271"/>
      <x:c r="Z241" s="271"/>
      <x:c r="AA241" s="271"/>
      <x:c r="AB241" s="271"/>
      <x:c r="AC241" s="271"/>
      <x:c r="AD241" s="271"/>
      <x:c r="AE241" s="271"/>
      <x:c r="AF241" s="271"/>
      <x:c r="AG241" s="271"/>
    </x:row>
    <x:row r="242">
      <x:c r="A242" s="272"/>
      <x:c r="B242" s="272"/>
      <x:c r="C242" s="272"/>
      <x:c r="D242" s="272"/>
      <x:c r="E242" s="272"/>
      <x:c r="F242" s="272"/>
      <x:c r="G242" s="272"/>
      <x:c r="H242" s="272"/>
      <x:c r="I242" s="272"/>
      <x:c r="J242" s="272"/>
      <x:c r="K242" s="272"/>
      <x:c r="L242" s="272"/>
      <x:c r="M242" s="272"/>
      <x:c r="N242" s="272"/>
      <x:c r="O242" s="272"/>
      <x:c r="P242" s="272"/>
      <x:c r="Q242" s="272"/>
      <x:c r="R242" s="272"/>
      <x:c r="S242" s="272"/>
      <x:c r="T242" s="272"/>
      <x:c r="U242" s="272"/>
      <x:c r="V242" s="272"/>
      <x:c r="W242" s="272"/>
      <x:c r="X242" s="272"/>
      <x:c r="Y242" s="271"/>
      <x:c r="Z242" s="271"/>
      <x:c r="AA242" s="271"/>
      <x:c r="AB242" s="271"/>
      <x:c r="AC242" s="271"/>
      <x:c r="AD242" s="271"/>
      <x:c r="AE242" s="271"/>
      <x:c r="AF242" s="271"/>
      <x:c r="AG242" s="271"/>
    </x:row>
    <x:row r="250" s="162" customFormat="1" ht="38.25" hidden="1">
      <x:c r="B250" s="163" t="s">
        <x:v>50</x:v>
      </x:c>
      <x:c r="G250" s="164" t="s">
        <x:v>51</x:v>
      </x:c>
      <x:c r="H250" s="162" t="s">
        <x:v>52</x:v>
      </x:c>
      <x:c r="AO250" s="165"/>
      <x:c r="AP250" s="165"/>
      <x:c r="AQ250" s="165"/>
      <x:c r="AR250" s="165"/>
      <x:c r="AS250" s="165"/>
      <x:c r="AT250" s="165"/>
      <x:c r="AU250" s="165"/>
      <x:c r="AV250" s="165"/>
      <x:c r="AW250" s="165"/>
      <x:c r="AX250" s="165"/>
      <x:c r="AY250" s="165"/>
      <x:c r="AZ250" s="165"/>
      <x:c r="BA250" s="165"/>
      <x:c r="BB250" s="165"/>
      <x:c r="BC250" s="165"/>
      <x:c r="BD250" s="165"/>
      <x:c r="BE250" s="165"/>
      <x:c r="BF250" s="165"/>
      <x:c r="BG250" s="165"/>
      <x:c r="BH250" s="165"/>
      <x:c r="BI250" s="166"/>
      <x:c r="BJ250" s="165"/>
      <x:c r="BK250" s="165"/>
      <x:c r="BL250" s="167" t="s">
        <x:v>53</x:v>
      </x:c>
      <x:c r="BM250" s="168" t="s">
        <x:v>54</x:v>
      </x:c>
      <x:c r="BN250" s="169" t="s">
        <x:v>55</x:v>
      </x:c>
      <x:c r="BO250" s="169" t="s">
        <x:v>55</x:v>
      </x:c>
    </x:row>
    <x:row r="251" s="162" customFormat="1" ht="19.899999618530273" hidden="1" customHeight="1">
      <x:c r="A251" s="170">
        <x:v>1</x:v>
      </x:c>
      <x:c r="B251" s="162" t="str">
        <x:f>TEXT(B7,"00")</x:f>
      </x:c>
      <x:c r="C251" s="162" t="str">
        <x:f>TEXT(C7,"00")</x:f>
      </x:c>
      <x:c r="D251" s="162" t="str">
        <x:f>TEXT(D7,"0000")</x:f>
      </x:c>
      <x:c r="E251" s="162" t="str">
        <x:f>TEXT(E7,"000")</x:f>
      </x:c>
      <x:c r="F251" s="171" t="str">
        <x:f>TEXT(F7,"0")</x:f>
      </x:c>
      <x:c r="G251" s="172" t="n">
        <x:f>BM251-BL251</x:f>
        <x:v>8</x:v>
      </x:c>
      <x:c r="H251" s="173" t="str">
        <x:f>MID(B251,1,1)</x:f>
      </x:c>
      <x:c r="I251" s="173" t="str">
        <x:f>MID(B251,2,1)</x:f>
      </x:c>
      <x:c r="J251" s="173" t="str">
        <x:f>MID(C251,1,1)</x:f>
      </x:c>
      <x:c r="K251" s="173" t="str">
        <x:f>MID(C251,2,1)</x:f>
      </x:c>
      <x:c r="L251" s="173" t="str">
        <x:f>MID(D251,1,1)</x:f>
      </x:c>
      <x:c r="M251" s="173" t="str">
        <x:f>MID(D251,2,1)</x:f>
      </x:c>
      <x:c r="N251" s="173" t="str">
        <x:f>MID(D251,3,1)</x:f>
      </x:c>
      <x:c r="O251" s="173" t="str">
        <x:f>MID(D251,4,1)</x:f>
      </x:c>
      <x:c r="P251" s="173" t="str">
        <x:f>MID(E251,1,1)</x:f>
      </x:c>
      <x:c r="Q251" s="173" t="str">
        <x:f>MID(E251,2,1)</x:f>
      </x:c>
      <x:c r="R251" s="173" t="str">
        <x:f>MID(E251,3,1)</x:f>
      </x:c>
      <x:c r="S251" s="174">
        <x:v>2</x:v>
      </x:c>
      <x:c r="T251" s="174">
        <x:v>1</x:v>
      </x:c>
      <x:c r="U251" s="174">
        <x:v>2</x:v>
      </x:c>
      <x:c r="V251" s="174">
        <x:v>1</x:v>
      </x:c>
      <x:c r="W251" s="174">
        <x:v>2</x:v>
      </x:c>
      <x:c r="X251" s="174">
        <x:v>1</x:v>
      </x:c>
      <x:c r="Y251" s="174">
        <x:v>2</x:v>
      </x:c>
      <x:c r="Z251" s="174">
        <x:v>1</x:v>
      </x:c>
      <x:c r="AA251" s="174">
        <x:v>2</x:v>
      </x:c>
      <x:c r="AB251" s="174">
        <x:v>1</x:v>
      </x:c>
      <x:c r="AC251" s="174">
        <x:v>2</x:v>
      </x:c>
      <x:c r="AD251" s="175" t="n">
        <x:f t="shared" ref="AD251:AN266" si="3">H251*S251</x:f>
        <x:v>0</x:v>
      </x:c>
      <x:c r="AE251" s="175">
        <x:f t="shared" si="3"/>
        <x:v>0</x:v>
      </x:c>
      <x:c r="AF251" s="175">
        <x:f t="shared" si="3"/>
        <x:v>0</x:v>
      </x:c>
      <x:c r="AG251" s="175">
        <x:f t="shared" si="3"/>
        <x:v>0</x:v>
      </x:c>
      <x:c r="AH251" s="175">
        <x:f t="shared" si="3"/>
        <x:v>0</x:v>
      </x:c>
      <x:c r="AI251" s="175">
        <x:f t="shared" si="3"/>
        <x:v>0</x:v>
      </x:c>
      <x:c r="AJ251" s="175">
        <x:f t="shared" si="3"/>
        <x:v>0</x:v>
      </x:c>
      <x:c r="AK251" s="175">
        <x:f t="shared" si="3"/>
        <x:v>0</x:v>
      </x:c>
      <x:c r="AL251" s="175">
        <x:f t="shared" si="3"/>
        <x:v>0</x:v>
      </x:c>
      <x:c r="AM251" s="175">
        <x:f t="shared" si="3"/>
        <x:v>0</x:v>
      </x:c>
      <x:c r="AN251" s="175">
        <x:f t="shared" si="3"/>
        <x:v>0</x:v>
      </x:c>
      <x:c r="AO251" s="176" t="n">
        <x:f>MID(AD251,1,1)</x:f>
        <x:v>1</x:v>
      </x:c>
      <x:c r="AP251" s="176" t="n">
        <x:f>IF(MID(AD251,2,1)="","0",MID(AD251,2,1))</x:f>
        <x:v>1</x:v>
      </x:c>
      <x:c r="AQ251" s="176" t="n">
        <x:f>MID(AE251,1,1)</x:f>
        <x:v>1</x:v>
      </x:c>
      <x:c r="AR251" s="176" t="n">
        <x:f>IF(MID(AE251,2,1)="","0",MID(AE251,2,1))</x:f>
        <x:v>1</x:v>
      </x:c>
      <x:c r="AS251" s="176" t="n">
        <x:f>MID(AF251,1,1)</x:f>
        <x:v>1</x:v>
      </x:c>
      <x:c r="AT251" s="176" t="n">
        <x:f>IF(MID(AF251,2,1)="","0",MID(AF251,2,1))</x:f>
        <x:v>1</x:v>
      </x:c>
      <x:c r="AU251" s="176" t="n">
        <x:f>MID(AG251,1,1)</x:f>
        <x:v>1</x:v>
      </x:c>
      <x:c r="AV251" s="176" t="n">
        <x:f>IF(MID(AG251,2,1)="","0",MID(AG251,2,1))</x:f>
        <x:v>1</x:v>
      </x:c>
      <x:c r="AW251" s="176" t="n">
        <x:f>MID(AH251,1,1)</x:f>
        <x:v>1</x:v>
      </x:c>
      <x:c r="AX251" s="176" t="n">
        <x:f>IF(MID(AH251,2,1)="","0",MID(AH251,2,1))</x:f>
        <x:v>1</x:v>
      </x:c>
      <x:c r="AY251" s="176" t="n">
        <x:f>MID(AI251,1,1)</x:f>
        <x:v>1</x:v>
      </x:c>
      <x:c r="AZ251" s="176" t="n">
        <x:f>IF(MID(AI251,2,1)="","0",MID(AI251,2,1))</x:f>
        <x:v>1</x:v>
      </x:c>
      <x:c r="BA251" s="176" t="n">
        <x:f>MID(AJ251,1,1)</x:f>
        <x:v>1</x:v>
      </x:c>
      <x:c r="BB251" s="176" t="n">
        <x:f>IF(MID(AJ251,2,1)="","0",MID(AJ251,2,1))</x:f>
        <x:v>1</x:v>
      </x:c>
      <x:c r="BC251" s="176" t="n">
        <x:f>MID(AK251,1,1)</x:f>
        <x:v>1</x:v>
      </x:c>
      <x:c r="BD251" s="176" t="n">
        <x:f>IF(MID(AK251,2,1)="","0",MID(AK251,2,1))</x:f>
        <x:v>1</x:v>
      </x:c>
      <x:c r="BE251" s="176" t="n">
        <x:f>MID(AL251,1,1)</x:f>
        <x:v>1</x:v>
      </x:c>
      <x:c r="BF251" s="176" t="n">
        <x:f>IF(MID(AL251,2,1)="","0",MID(AL251,2,1))</x:f>
        <x:v>1</x:v>
      </x:c>
      <x:c r="BG251" s="176" t="n">
        <x:f>MID(AM251,1,1)</x:f>
        <x:v>1</x:v>
      </x:c>
      <x:c r="BH251" s="176" t="n">
        <x:f>IF(MID(AM251,2,1)="","0",MID(AM251,2,1))</x:f>
        <x:v>1</x:v>
      </x:c>
      <x:c r="BI251" s="176" t="n">
        <x:f>MID(AN251,1,1)</x:f>
        <x:v>1</x:v>
      </x:c>
      <x:c r="BJ251" s="176" t="n">
        <x:f>IF(MID(AN251,2,1)="","0",MID(AN251,2,1))</x:f>
        <x:v>1</x:v>
      </x:c>
      <x:c r="BK251" s="176"/>
      <x:c r="BL251" s="175" t="n">
        <x:f>BJ251+BI251+BH251+BG251+BF251+BE251+BD251+BC251+BB251+BA251+AZ251+AY251+AX251+AW251+AV251+AU251+AT251+AS251+AR251+AQ251+AP251+AO251</x:f>
        <x:v>22</x:v>
      </x:c>
      <x:c r="BM251" s="177" t="n">
        <x:f>ROUNDUP(BL251/10,0)*10</x:f>
        <x:v>30</x:v>
      </x:c>
      <x:c r="BN251" s="178" t="n">
        <x:f>BM251-BL251</x:f>
        <x:v>8</x:v>
      </x:c>
      <x:c r="BO251" s="179" t="n">
        <x:f>BN251-BM251</x:f>
        <x:v>-22</x:v>
      </x:c>
    </x:row>
    <x:row r="252" s="162" customFormat="1" ht="19.899999618530273" hidden="1" customHeight="1">
      <x:c r="A252" s="170">
        <x:v>2</x:v>
      </x:c>
      <x:c r="B252" s="162" t="str">
        <x:f t="shared" ref="B252:C252" si="4">TEXT(B8,"00")</x:f>
      </x:c>
      <x:c r="C252" s="162" t="str">
        <x:f t="shared" si="4"/>
        <x:v>00</x:v>
      </x:c>
      <x:c r="D252" s="162" t="str">
        <x:f t="shared" ref="D252:D290" si="5">TEXT(D8,"0000")</x:f>
      </x:c>
      <x:c r="E252" s="162" t="str">
        <x:f t="shared" ref="E252:E290" si="6">TEXT(E8,"000")</x:f>
      </x:c>
      <x:c r="F252" s="171" t="str">
        <x:f t="shared" ref="F252:F290" si="7">TEXT(F8,"0")</x:f>
      </x:c>
      <x:c r="G252" s="172" t="n">
        <x:f t="shared" ref="G252:G259" si="8">BM252-BL252</x:f>
        <x:v>8</x:v>
      </x:c>
      <x:c r="H252" s="173" t="str">
        <x:f t="shared" ref="H252:H259" si="9">MID(B252,1,1)</x:f>
      </x:c>
      <x:c r="I252" s="173" t="str">
        <x:f t="shared" ref="I252:I259" si="10">MID(B252,2,1)</x:f>
      </x:c>
      <x:c r="J252" s="173" t="n">
        <x:f t="shared" ref="J252:J259" si="11">MID(C252,1,1)</x:f>
        <x:v>1</x:v>
      </x:c>
      <x:c r="K252" s="173" t="n">
        <x:f t="shared" ref="K252:K259" si="12">MID(C252,2,1)</x:f>
        <x:v>1</x:v>
      </x:c>
      <x:c r="L252" s="173" t="str">
        <x:f t="shared" ref="L252:L259" si="13">MID(D252,1,1)</x:f>
      </x:c>
      <x:c r="M252" s="173" t="str">
        <x:f t="shared" ref="M252:M259" si="14">MID(D252,2,1)</x:f>
      </x:c>
      <x:c r="N252" s="173" t="str">
        <x:f t="shared" ref="N252:N259" si="15">MID(D252,3,1)</x:f>
      </x:c>
      <x:c r="O252" s="173" t="str">
        <x:f t="shared" ref="O252:O259" si="16">MID(D252,4,1)</x:f>
      </x:c>
      <x:c r="P252" s="173" t="str">
        <x:f t="shared" ref="P252:P259" si="17">MID(E252,1,1)</x:f>
      </x:c>
      <x:c r="Q252" s="173" t="str">
        <x:f t="shared" ref="Q252:Q259" si="18">MID(E252,2,1)</x:f>
      </x:c>
      <x:c r="R252" s="173" t="str">
        <x:f t="shared" ref="R252:R259" si="19">MID(E252,3,1)</x:f>
      </x:c>
      <x:c r="S252" s="174">
        <x:v>2</x:v>
      </x:c>
      <x:c r="T252" s="174">
        <x:v>1</x:v>
      </x:c>
      <x:c r="U252" s="174">
        <x:v>2</x:v>
      </x:c>
      <x:c r="V252" s="174">
        <x:v>1</x:v>
      </x:c>
      <x:c r="W252" s="174">
        <x:v>2</x:v>
      </x:c>
      <x:c r="X252" s="174">
        <x:v>1</x:v>
      </x:c>
      <x:c r="Y252" s="174">
        <x:v>2</x:v>
      </x:c>
      <x:c r="Z252" s="174">
        <x:v>1</x:v>
      </x:c>
      <x:c r="AA252" s="174">
        <x:v>2</x:v>
      </x:c>
      <x:c r="AB252" s="174">
        <x:v>1</x:v>
      </x:c>
      <x:c r="AC252" s="174">
        <x:v>2</x:v>
      </x:c>
      <x:c r="AD252" s="175">
        <x:f t="shared" si="3"/>
        <x:v>0</x:v>
      </x:c>
      <x:c r="AE252" s="175">
        <x:f t="shared" si="3"/>
        <x:v>0</x:v>
      </x:c>
      <x:c r="AF252" s="175">
        <x:f t="shared" si="3"/>
        <x:v>0</x:v>
      </x:c>
      <x:c r="AG252" s="175">
        <x:f t="shared" si="3"/>
        <x:v>0</x:v>
      </x:c>
      <x:c r="AH252" s="175">
        <x:f t="shared" si="3"/>
        <x:v>0</x:v>
      </x:c>
      <x:c r="AI252" s="175">
        <x:f t="shared" si="3"/>
        <x:v>0</x:v>
      </x:c>
      <x:c r="AJ252" s="175">
        <x:f t="shared" si="3"/>
        <x:v>0</x:v>
      </x:c>
      <x:c r="AK252" s="175">
        <x:f t="shared" si="3"/>
        <x:v>0</x:v>
      </x:c>
      <x:c r="AL252" s="175">
        <x:f t="shared" si="3"/>
        <x:v>0</x:v>
      </x:c>
      <x:c r="AM252" s="175">
        <x:f t="shared" si="3"/>
        <x:v>0</x:v>
      </x:c>
      <x:c r="AN252" s="175">
        <x:f t="shared" si="3"/>
        <x:v>0</x:v>
      </x:c>
      <x:c r="AO252" s="176" t="n">
        <x:f t="shared" ref="AO252:AO259" si="20">MID(AD252,1,1)</x:f>
        <x:v>1</x:v>
      </x:c>
      <x:c r="AP252" s="176" t="n">
        <x:f t="shared" ref="AP252:AP259" si="21">IF(MID(AD252,2,1)="","0",MID(AD252,2,1))</x:f>
        <x:v>1</x:v>
      </x:c>
      <x:c r="AQ252" s="176" t="n">
        <x:f t="shared" ref="AQ252:AQ259" si="22">MID(AE252,1,1)</x:f>
        <x:v>1</x:v>
      </x:c>
      <x:c r="AR252" s="176" t="n">
        <x:f t="shared" ref="AR252:AR259" si="23">IF(MID(AE252,2,1)="","0",MID(AE252,2,1))</x:f>
        <x:v>1</x:v>
      </x:c>
      <x:c r="AS252" s="176" t="n">
        <x:f t="shared" ref="AS252:AS259" si="24">MID(AF252,1,1)</x:f>
        <x:v>1</x:v>
      </x:c>
      <x:c r="AT252" s="176" t="n">
        <x:f t="shared" ref="AT252:AT259" si="25">IF(MID(AF252,2,1)="","0",MID(AF252,2,1))</x:f>
        <x:v>1</x:v>
      </x:c>
      <x:c r="AU252" s="176" t="n">
        <x:f t="shared" ref="AU252:AU259" si="26">MID(AG252,1,1)</x:f>
        <x:v>1</x:v>
      </x:c>
      <x:c r="AV252" s="176" t="n">
        <x:f t="shared" ref="AV252:AV259" si="27">IF(MID(AG252,2,1)="","0",MID(AG252,2,1))</x:f>
        <x:v>1</x:v>
      </x:c>
      <x:c r="AW252" s="176" t="n">
        <x:f t="shared" ref="AW252:AW259" si="28">MID(AH252,1,1)</x:f>
        <x:v>1</x:v>
      </x:c>
      <x:c r="AX252" s="176" t="n">
        <x:f t="shared" ref="AX252:AX259" si="29">IF(MID(AH252,2,1)="","0",MID(AH252,2,1))</x:f>
        <x:v>1</x:v>
      </x:c>
      <x:c r="AY252" s="176" t="n">
        <x:f t="shared" ref="AY252:AY259" si="30">MID(AI252,1,1)</x:f>
        <x:v>1</x:v>
      </x:c>
      <x:c r="AZ252" s="176" t="n">
        <x:f t="shared" ref="AZ252:AZ259" si="31">IF(MID(AI252,2,1)="","0",MID(AI252,2,1))</x:f>
        <x:v>1</x:v>
      </x:c>
      <x:c r="BA252" s="176" t="n">
        <x:f t="shared" ref="BA252:BA259" si="32">MID(AJ252,1,1)</x:f>
        <x:v>1</x:v>
      </x:c>
      <x:c r="BB252" s="176" t="n">
        <x:f t="shared" ref="BB252:BB259" si="33">IF(MID(AJ252,2,1)="","0",MID(AJ252,2,1))</x:f>
        <x:v>1</x:v>
      </x:c>
      <x:c r="BC252" s="176" t="n">
        <x:f t="shared" ref="BC252:BC259" si="34">MID(AK252,1,1)</x:f>
        <x:v>1</x:v>
      </x:c>
      <x:c r="BD252" s="176" t="n">
        <x:f t="shared" ref="BD252:BD259" si="35">IF(MID(AK252,2,1)="","0",MID(AK252,2,1))</x:f>
        <x:v>1</x:v>
      </x:c>
      <x:c r="BE252" s="176" t="n">
        <x:f t="shared" ref="BE252:BE259" si="36">MID(AL252,1,1)</x:f>
        <x:v>1</x:v>
      </x:c>
      <x:c r="BF252" s="176" t="n">
        <x:f t="shared" ref="BF252:BF259" si="37">IF(MID(AL252,2,1)="","0",MID(AL252,2,1))</x:f>
        <x:v>1</x:v>
      </x:c>
      <x:c r="BG252" s="176" t="n">
        <x:f t="shared" ref="BG252:BG259" si="38">MID(AM252,1,1)</x:f>
        <x:v>1</x:v>
      </x:c>
      <x:c r="BH252" s="176" t="n">
        <x:f t="shared" ref="BH252:BH259" si="39">IF(MID(AM252,2,1)="","0",MID(AM252,2,1))</x:f>
        <x:v>1</x:v>
      </x:c>
      <x:c r="BI252" s="176" t="n">
        <x:f t="shared" ref="BI252:BI259" si="40">MID(AN252,1,1)</x:f>
        <x:v>1</x:v>
      </x:c>
      <x:c r="BJ252" s="176" t="n">
        <x:f t="shared" ref="BJ252:BJ259" si="41">IF(MID(AN252,2,1)="","0",MID(AN252,2,1))</x:f>
        <x:v>1</x:v>
      </x:c>
      <x:c r="BK252" s="176"/>
      <x:c r="BL252" s="175" t="n">
        <x:f t="shared" ref="BL252:BL259" si="42">BJ252+BI252+BH252+BG252+BF252+BE252+BD252+BC252+BB252+BA252+AZ252+AY252+AX252+AW252+AV252+AU252+AT252+AS252+AR252+AQ252+AP252+AO252</x:f>
        <x:v>22</x:v>
      </x:c>
      <x:c r="BM252" s="177" t="n">
        <x:f t="shared" ref="BM252:BM290" si="43">ROUNDUP(BL252/10,0)*10</x:f>
        <x:v>30</x:v>
      </x:c>
      <x:c r="BN252" s="178" t="n">
        <x:f t="shared" ref="BN252:BO259" si="44">BM252-BL252</x:f>
        <x:v>8</x:v>
      </x:c>
      <x:c r="BO252" s="179">
        <x:f t="shared" si="44"/>
        <x:v>0</x:v>
      </x:c>
    </x:row>
    <x:row r="253" s="162" customFormat="1" ht="19.899999618530273" hidden="1" customHeight="1">
      <x:c r="A253" s="170">
        <x:v>3</x:v>
      </x:c>
      <x:c r="B253" s="162" t="str">
        <x:f t="shared" ref="B253:C253" si="45">TEXT(B9,"00")</x:f>
      </x:c>
      <x:c r="C253" s="162" t="str">
        <x:f t="shared" si="45"/>
        <x:v>00</x:v>
      </x:c>
      <x:c r="D253" s="162" t="str">
        <x:f t="shared" si="5"/>
        <x:v>0000</x:v>
      </x:c>
      <x:c r="E253" s="162" t="str">
        <x:f t="shared" si="6"/>
        <x:v>000</x:v>
      </x:c>
      <x:c r="F253" s="171" t="str">
        <x:f t="shared" si="7"/>
        <x:v>0</x:v>
      </x:c>
      <x:c r="G253" s="172">
        <x:f t="shared" si="8"/>
        <x:v>0</x:v>
      </x:c>
      <x:c r="H253" s="173" t="str">
        <x:f t="shared" si="9"/>
        <x:v>0</x:v>
      </x:c>
      <x:c r="I253" s="173" t="str">
        <x:f t="shared" si="10"/>
        <x:v>0</x:v>
      </x:c>
      <x:c r="J253" s="173" t="str">
        <x:f t="shared" si="11"/>
        <x:v>0</x:v>
      </x:c>
      <x:c r="K253" s="173" t="str">
        <x:f t="shared" si="12"/>
        <x:v>0</x:v>
      </x:c>
      <x:c r="L253" s="173" t="str">
        <x:f t="shared" si="13"/>
        <x:v>0</x:v>
      </x:c>
      <x:c r="M253" s="173" t="str">
        <x:f t="shared" si="14"/>
        <x:v>0</x:v>
      </x:c>
      <x:c r="N253" s="173" t="str">
        <x:f t="shared" si="15"/>
        <x:v>0</x:v>
      </x:c>
      <x:c r="O253" s="173" t="str">
        <x:f t="shared" si="16"/>
        <x:v>0</x:v>
      </x:c>
      <x:c r="P253" s="173" t="str">
        <x:f t="shared" si="17"/>
        <x:v>0</x:v>
      </x:c>
      <x:c r="Q253" s="173" t="str">
        <x:f t="shared" si="18"/>
        <x:v>0</x:v>
      </x:c>
      <x:c r="R253" s="173" t="str">
        <x:f t="shared" si="19"/>
        <x:v>0</x:v>
      </x:c>
      <x:c r="S253" s="174">
        <x:v>2</x:v>
      </x:c>
      <x:c r="T253" s="174">
        <x:v>1</x:v>
      </x:c>
      <x:c r="U253" s="174">
        <x:v>2</x:v>
      </x:c>
      <x:c r="V253" s="174">
        <x:v>1</x:v>
      </x:c>
      <x:c r="W253" s="174">
        <x:v>2</x:v>
      </x:c>
      <x:c r="X253" s="174">
        <x:v>1</x:v>
      </x:c>
      <x:c r="Y253" s="174">
        <x:v>2</x:v>
      </x:c>
      <x:c r="Z253" s="174">
        <x:v>1</x:v>
      </x:c>
      <x:c r="AA253" s="174">
        <x:v>2</x:v>
      </x:c>
      <x:c r="AB253" s="174">
        <x:v>1</x:v>
      </x:c>
      <x:c r="AC253" s="174">
        <x:v>2</x:v>
      </x:c>
      <x:c r="AD253" s="175">
        <x:f t="shared" si="3"/>
        <x:v>0</x:v>
      </x:c>
      <x:c r="AE253" s="175">
        <x:f t="shared" si="3"/>
        <x:v>0</x:v>
      </x:c>
      <x:c r="AF253" s="175">
        <x:f t="shared" si="3"/>
        <x:v>0</x:v>
      </x:c>
      <x:c r="AG253" s="175">
        <x:f t="shared" si="3"/>
        <x:v>0</x:v>
      </x:c>
      <x:c r="AH253" s="175">
        <x:f t="shared" si="3"/>
        <x:v>0</x:v>
      </x:c>
      <x:c r="AI253" s="175">
        <x:f t="shared" si="3"/>
        <x:v>0</x:v>
      </x:c>
      <x:c r="AJ253" s="175">
        <x:f t="shared" si="3"/>
        <x:v>0</x:v>
      </x:c>
      <x:c r="AK253" s="175">
        <x:f t="shared" si="3"/>
        <x:v>0</x:v>
      </x:c>
      <x:c r="AL253" s="175">
        <x:f t="shared" si="3"/>
        <x:v>0</x:v>
      </x:c>
      <x:c r="AM253" s="175">
        <x:f t="shared" si="3"/>
        <x:v>0</x:v>
      </x:c>
      <x:c r="AN253" s="175">
        <x:f t="shared" si="3"/>
        <x:v>0</x:v>
      </x:c>
      <x:c r="AO253" s="176" t="str">
        <x:f t="shared" si="20"/>
        <x:v>0</x:v>
      </x:c>
      <x:c r="AP253" s="176" t="str">
        <x:f t="shared" si="21"/>
        <x:v>0</x:v>
      </x:c>
      <x:c r="AQ253" s="176" t="str">
        <x:f t="shared" si="22"/>
        <x:v>0</x:v>
      </x:c>
      <x:c r="AR253" s="176" t="str">
        <x:f t="shared" si="23"/>
        <x:v>0</x:v>
      </x:c>
      <x:c r="AS253" s="176" t="str">
        <x:f t="shared" si="24"/>
        <x:v>0</x:v>
      </x:c>
      <x:c r="AT253" s="176" t="str">
        <x:f t="shared" si="25"/>
        <x:v>0</x:v>
      </x:c>
      <x:c r="AU253" s="176" t="str">
        <x:f t="shared" si="26"/>
        <x:v>0</x:v>
      </x:c>
      <x:c r="AV253" s="176" t="str">
        <x:f t="shared" si="27"/>
        <x:v>0</x:v>
      </x:c>
      <x:c r="AW253" s="176" t="str">
        <x:f t="shared" si="28"/>
        <x:v>0</x:v>
      </x:c>
      <x:c r="AX253" s="176" t="str">
        <x:f t="shared" si="29"/>
        <x:v>0</x:v>
      </x:c>
      <x:c r="AY253" s="176" t="str">
        <x:f t="shared" si="30"/>
        <x:v>0</x:v>
      </x:c>
      <x:c r="AZ253" s="176" t="str">
        <x:f t="shared" si="31"/>
        <x:v>0</x:v>
      </x:c>
      <x:c r="BA253" s="176" t="str">
        <x:f t="shared" si="32"/>
        <x:v>0</x:v>
      </x:c>
      <x:c r="BB253" s="176" t="str">
        <x:f t="shared" si="33"/>
        <x:v>0</x:v>
      </x:c>
      <x:c r="BC253" s="176" t="str">
        <x:f t="shared" si="34"/>
        <x:v>0</x:v>
      </x:c>
      <x:c r="BD253" s="176" t="str">
        <x:f t="shared" si="35"/>
        <x:v>0</x:v>
      </x:c>
      <x:c r="BE253" s="176" t="str">
        <x:f t="shared" si="36"/>
        <x:v>0</x:v>
      </x:c>
      <x:c r="BF253" s="176" t="str">
        <x:f t="shared" si="37"/>
        <x:v>0</x:v>
      </x:c>
      <x:c r="BG253" s="176" t="str">
        <x:f t="shared" si="38"/>
        <x:v>0</x:v>
      </x:c>
      <x:c r="BH253" s="176" t="str">
        <x:f t="shared" si="39"/>
        <x:v>0</x:v>
      </x:c>
      <x:c r="BI253" s="176" t="str">
        <x:f t="shared" si="40"/>
        <x:v>0</x:v>
      </x:c>
      <x:c r="BJ253" s="176" t="str">
        <x:f t="shared" si="41"/>
        <x:v>0</x:v>
      </x:c>
      <x:c r="BK253" s="176"/>
      <x:c r="BL253" s="175">
        <x:f t="shared" si="42"/>
        <x:v>0</x:v>
      </x:c>
      <x:c r="BM253" s="177">
        <x:f t="shared" si="43"/>
        <x:v>0</x:v>
      </x:c>
      <x:c r="BN253" s="178">
        <x:f t="shared" si="44"/>
        <x:v>0</x:v>
      </x:c>
      <x:c r="BO253" s="179">
        <x:f t="shared" si="44"/>
        <x:v>0</x:v>
      </x:c>
    </x:row>
    <x:row r="254" s="162" customFormat="1" ht="19.899999618530273" hidden="1" customHeight="1">
      <x:c r="A254" s="170">
        <x:v>4</x:v>
      </x:c>
      <x:c r="B254" s="162" t="str">
        <x:f t="shared" ref="B254:C254" si="46">TEXT(B10,"00")</x:f>
      </x:c>
      <x:c r="C254" s="162" t="str">
        <x:f t="shared" si="46"/>
        <x:v>00</x:v>
      </x:c>
      <x:c r="D254" s="162" t="str">
        <x:f t="shared" si="5"/>
        <x:v>0000</x:v>
      </x:c>
      <x:c r="E254" s="162" t="str">
        <x:f t="shared" si="6"/>
        <x:v>000</x:v>
      </x:c>
      <x:c r="F254" s="171" t="str">
        <x:f t="shared" si="7"/>
        <x:v>0</x:v>
      </x:c>
      <x:c r="G254" s="172">
        <x:f t="shared" si="8"/>
        <x:v>0</x:v>
      </x:c>
      <x:c r="H254" s="173" t="str">
        <x:f t="shared" si="9"/>
        <x:v>0</x:v>
      </x:c>
      <x:c r="I254" s="173" t="str">
        <x:f t="shared" si="10"/>
        <x:v>0</x:v>
      </x:c>
      <x:c r="J254" s="173" t="str">
        <x:f t="shared" si="11"/>
        <x:v>0</x:v>
      </x:c>
      <x:c r="K254" s="173" t="str">
        <x:f t="shared" si="12"/>
        <x:v>0</x:v>
      </x:c>
      <x:c r="L254" s="173" t="str">
        <x:f t="shared" si="13"/>
        <x:v>0</x:v>
      </x:c>
      <x:c r="M254" s="173" t="str">
        <x:f t="shared" si="14"/>
        <x:v>0</x:v>
      </x:c>
      <x:c r="N254" s="173" t="str">
        <x:f t="shared" si="15"/>
        <x:v>0</x:v>
      </x:c>
      <x:c r="O254" s="173" t="str">
        <x:f t="shared" si="16"/>
        <x:v>0</x:v>
      </x:c>
      <x:c r="P254" s="173" t="str">
        <x:f t="shared" si="17"/>
        <x:v>0</x:v>
      </x:c>
      <x:c r="Q254" s="173" t="str">
        <x:f t="shared" si="18"/>
        <x:v>0</x:v>
      </x:c>
      <x:c r="R254" s="173" t="str">
        <x:f t="shared" si="19"/>
        <x:v>0</x:v>
      </x:c>
      <x:c r="S254" s="174">
        <x:v>2</x:v>
      </x:c>
      <x:c r="T254" s="174">
        <x:v>1</x:v>
      </x:c>
      <x:c r="U254" s="174">
        <x:v>2</x:v>
      </x:c>
      <x:c r="V254" s="174">
        <x:v>1</x:v>
      </x:c>
      <x:c r="W254" s="174">
        <x:v>2</x:v>
      </x:c>
      <x:c r="X254" s="174">
        <x:v>1</x:v>
      </x:c>
      <x:c r="Y254" s="174">
        <x:v>2</x:v>
      </x:c>
      <x:c r="Z254" s="174">
        <x:v>1</x:v>
      </x:c>
      <x:c r="AA254" s="174">
        <x:v>2</x:v>
      </x:c>
      <x:c r="AB254" s="174">
        <x:v>1</x:v>
      </x:c>
      <x:c r="AC254" s="174">
        <x:v>2</x:v>
      </x:c>
      <x:c r="AD254" s="175">
        <x:f t="shared" si="3"/>
        <x:v>0</x:v>
      </x:c>
      <x:c r="AE254" s="175">
        <x:f t="shared" si="3"/>
        <x:v>0</x:v>
      </x:c>
      <x:c r="AF254" s="175">
        <x:f t="shared" si="3"/>
        <x:v>0</x:v>
      </x:c>
      <x:c r="AG254" s="175">
        <x:f t="shared" si="3"/>
        <x:v>0</x:v>
      </x:c>
      <x:c r="AH254" s="175">
        <x:f t="shared" si="3"/>
        <x:v>0</x:v>
      </x:c>
      <x:c r="AI254" s="175">
        <x:f t="shared" si="3"/>
        <x:v>0</x:v>
      </x:c>
      <x:c r="AJ254" s="175">
        <x:f t="shared" si="3"/>
        <x:v>0</x:v>
      </x:c>
      <x:c r="AK254" s="175">
        <x:f t="shared" si="3"/>
        <x:v>0</x:v>
      </x:c>
      <x:c r="AL254" s="175">
        <x:f t="shared" si="3"/>
        <x:v>0</x:v>
      </x:c>
      <x:c r="AM254" s="175">
        <x:f t="shared" si="3"/>
        <x:v>0</x:v>
      </x:c>
      <x:c r="AN254" s="175">
        <x:f t="shared" si="3"/>
        <x:v>0</x:v>
      </x:c>
      <x:c r="AO254" s="176" t="str">
        <x:f t="shared" si="20"/>
        <x:v>0</x:v>
      </x:c>
      <x:c r="AP254" s="176" t="str">
        <x:f t="shared" si="21"/>
        <x:v>0</x:v>
      </x:c>
      <x:c r="AQ254" s="176" t="str">
        <x:f t="shared" si="22"/>
        <x:v>0</x:v>
      </x:c>
      <x:c r="AR254" s="176" t="str">
        <x:f t="shared" si="23"/>
        <x:v>0</x:v>
      </x:c>
      <x:c r="AS254" s="176" t="str">
        <x:f t="shared" si="24"/>
        <x:v>0</x:v>
      </x:c>
      <x:c r="AT254" s="176" t="str">
        <x:f t="shared" si="25"/>
        <x:v>0</x:v>
      </x:c>
      <x:c r="AU254" s="176" t="str">
        <x:f t="shared" si="26"/>
        <x:v>0</x:v>
      </x:c>
      <x:c r="AV254" s="176" t="str">
        <x:f t="shared" si="27"/>
        <x:v>0</x:v>
      </x:c>
      <x:c r="AW254" s="176" t="str">
        <x:f t="shared" si="28"/>
        <x:v>0</x:v>
      </x:c>
      <x:c r="AX254" s="176" t="str">
        <x:f t="shared" si="29"/>
        <x:v>0</x:v>
      </x:c>
      <x:c r="AY254" s="176" t="str">
        <x:f t="shared" si="30"/>
        <x:v>0</x:v>
      </x:c>
      <x:c r="AZ254" s="176" t="str">
        <x:f t="shared" si="31"/>
        <x:v>0</x:v>
      </x:c>
      <x:c r="BA254" s="176" t="str">
        <x:f t="shared" si="32"/>
        <x:v>0</x:v>
      </x:c>
      <x:c r="BB254" s="176" t="str">
        <x:f t="shared" si="33"/>
        <x:v>0</x:v>
      </x:c>
      <x:c r="BC254" s="176" t="str">
        <x:f t="shared" si="34"/>
        <x:v>0</x:v>
      </x:c>
      <x:c r="BD254" s="176" t="str">
        <x:f t="shared" si="35"/>
        <x:v>0</x:v>
      </x:c>
      <x:c r="BE254" s="176" t="str">
        <x:f t="shared" si="36"/>
        <x:v>0</x:v>
      </x:c>
      <x:c r="BF254" s="176" t="str">
        <x:f t="shared" si="37"/>
        <x:v>0</x:v>
      </x:c>
      <x:c r="BG254" s="176" t="str">
        <x:f t="shared" si="38"/>
        <x:v>0</x:v>
      </x:c>
      <x:c r="BH254" s="176" t="str">
        <x:f t="shared" si="39"/>
        <x:v>0</x:v>
      </x:c>
      <x:c r="BI254" s="176" t="str">
        <x:f t="shared" si="40"/>
        <x:v>0</x:v>
      </x:c>
      <x:c r="BJ254" s="176" t="str">
        <x:f t="shared" si="41"/>
        <x:v>0</x:v>
      </x:c>
      <x:c r="BK254" s="176"/>
      <x:c r="BL254" s="175">
        <x:f t="shared" si="42"/>
        <x:v>0</x:v>
      </x:c>
      <x:c r="BM254" s="177">
        <x:f t="shared" si="43"/>
        <x:v>0</x:v>
      </x:c>
      <x:c r="BN254" s="178">
        <x:f t="shared" si="44"/>
        <x:v>0</x:v>
      </x:c>
      <x:c r="BO254" s="179">
        <x:f t="shared" si="44"/>
        <x:v>0</x:v>
      </x:c>
    </x:row>
    <x:row r="255" s="162" customFormat="1" ht="19.899999618530273" hidden="1" customHeight="1">
      <x:c r="A255" s="170">
        <x:v>5</x:v>
      </x:c>
      <x:c r="B255" s="162" t="str">
        <x:f t="shared" ref="B255:C255" si="47">TEXT(B11,"00")</x:f>
      </x:c>
      <x:c r="C255" s="162" t="str">
        <x:f t="shared" si="47"/>
        <x:v>00</x:v>
      </x:c>
      <x:c r="D255" s="162" t="str">
        <x:f t="shared" si="5"/>
        <x:v>0000</x:v>
      </x:c>
      <x:c r="E255" s="162" t="str">
        <x:f t="shared" si="6"/>
        <x:v>000</x:v>
      </x:c>
      <x:c r="F255" s="171" t="str">
        <x:f t="shared" si="7"/>
        <x:v>0</x:v>
      </x:c>
      <x:c r="G255" s="172">
        <x:f t="shared" si="8"/>
        <x:v>0</x:v>
      </x:c>
      <x:c r="H255" s="173" t="str">
        <x:f t="shared" si="9"/>
        <x:v>0</x:v>
      </x:c>
      <x:c r="I255" s="173" t="str">
        <x:f t="shared" si="10"/>
        <x:v>0</x:v>
      </x:c>
      <x:c r="J255" s="173" t="str">
        <x:f t="shared" si="11"/>
        <x:v>0</x:v>
      </x:c>
      <x:c r="K255" s="173" t="str">
        <x:f t="shared" si="12"/>
        <x:v>0</x:v>
      </x:c>
      <x:c r="L255" s="173" t="str">
        <x:f t="shared" si="13"/>
        <x:v>0</x:v>
      </x:c>
      <x:c r="M255" s="173" t="str">
        <x:f t="shared" si="14"/>
        <x:v>0</x:v>
      </x:c>
      <x:c r="N255" s="173" t="str">
        <x:f t="shared" si="15"/>
        <x:v>0</x:v>
      </x:c>
      <x:c r="O255" s="173" t="str">
        <x:f t="shared" si="16"/>
        <x:v>0</x:v>
      </x:c>
      <x:c r="P255" s="173" t="str">
        <x:f t="shared" si="17"/>
        <x:v>0</x:v>
      </x:c>
      <x:c r="Q255" s="173" t="str">
        <x:f t="shared" si="18"/>
        <x:v>0</x:v>
      </x:c>
      <x:c r="R255" s="173" t="str">
        <x:f t="shared" si="19"/>
        <x:v>0</x:v>
      </x:c>
      <x:c r="S255" s="174">
        <x:v>2</x:v>
      </x:c>
      <x:c r="T255" s="174">
        <x:v>1</x:v>
      </x:c>
      <x:c r="U255" s="174">
        <x:v>2</x:v>
      </x:c>
      <x:c r="V255" s="174">
        <x:v>1</x:v>
      </x:c>
      <x:c r="W255" s="174">
        <x:v>2</x:v>
      </x:c>
      <x:c r="X255" s="174">
        <x:v>1</x:v>
      </x:c>
      <x:c r="Y255" s="174">
        <x:v>2</x:v>
      </x:c>
      <x:c r="Z255" s="174">
        <x:v>1</x:v>
      </x:c>
      <x:c r="AA255" s="174">
        <x:v>2</x:v>
      </x:c>
      <x:c r="AB255" s="174">
        <x:v>1</x:v>
      </x:c>
      <x:c r="AC255" s="174">
        <x:v>2</x:v>
      </x:c>
      <x:c r="AD255" s="175">
        <x:f t="shared" si="3"/>
        <x:v>0</x:v>
      </x:c>
      <x:c r="AE255" s="175">
        <x:f t="shared" si="3"/>
        <x:v>0</x:v>
      </x:c>
      <x:c r="AF255" s="175">
        <x:f t="shared" si="3"/>
        <x:v>0</x:v>
      </x:c>
      <x:c r="AG255" s="175">
        <x:f t="shared" si="3"/>
        <x:v>0</x:v>
      </x:c>
      <x:c r="AH255" s="175">
        <x:f t="shared" si="3"/>
        <x:v>0</x:v>
      </x:c>
      <x:c r="AI255" s="175">
        <x:f t="shared" si="3"/>
        <x:v>0</x:v>
      </x:c>
      <x:c r="AJ255" s="175">
        <x:f t="shared" si="3"/>
        <x:v>0</x:v>
      </x:c>
      <x:c r="AK255" s="175">
        <x:f t="shared" si="3"/>
        <x:v>0</x:v>
      </x:c>
      <x:c r="AL255" s="175">
        <x:f t="shared" si="3"/>
        <x:v>0</x:v>
      </x:c>
      <x:c r="AM255" s="175">
        <x:f t="shared" si="3"/>
        <x:v>0</x:v>
      </x:c>
      <x:c r="AN255" s="175">
        <x:f t="shared" si="3"/>
        <x:v>0</x:v>
      </x:c>
      <x:c r="AO255" s="176" t="str">
        <x:f t="shared" si="20"/>
        <x:v>0</x:v>
      </x:c>
      <x:c r="AP255" s="176" t="str">
        <x:f t="shared" si="21"/>
        <x:v>0</x:v>
      </x:c>
      <x:c r="AQ255" s="176" t="str">
        <x:f t="shared" si="22"/>
        <x:v>0</x:v>
      </x:c>
      <x:c r="AR255" s="176" t="str">
        <x:f t="shared" si="23"/>
        <x:v>0</x:v>
      </x:c>
      <x:c r="AS255" s="176" t="str">
        <x:f t="shared" si="24"/>
        <x:v>0</x:v>
      </x:c>
      <x:c r="AT255" s="176" t="str">
        <x:f t="shared" si="25"/>
        <x:v>0</x:v>
      </x:c>
      <x:c r="AU255" s="176" t="str">
        <x:f t="shared" si="26"/>
        <x:v>0</x:v>
      </x:c>
      <x:c r="AV255" s="176" t="str">
        <x:f t="shared" si="27"/>
        <x:v>0</x:v>
      </x:c>
      <x:c r="AW255" s="176" t="str">
        <x:f t="shared" si="28"/>
        <x:v>0</x:v>
      </x:c>
      <x:c r="AX255" s="176" t="str">
        <x:f t="shared" si="29"/>
        <x:v>0</x:v>
      </x:c>
      <x:c r="AY255" s="176" t="str">
        <x:f t="shared" si="30"/>
        <x:v>0</x:v>
      </x:c>
      <x:c r="AZ255" s="176" t="str">
        <x:f t="shared" si="31"/>
        <x:v>0</x:v>
      </x:c>
      <x:c r="BA255" s="176" t="str">
        <x:f t="shared" si="32"/>
        <x:v>0</x:v>
      </x:c>
      <x:c r="BB255" s="176" t="str">
        <x:f t="shared" si="33"/>
        <x:v>0</x:v>
      </x:c>
      <x:c r="BC255" s="176" t="str">
        <x:f t="shared" si="34"/>
        <x:v>0</x:v>
      </x:c>
      <x:c r="BD255" s="176" t="str">
        <x:f t="shared" si="35"/>
        <x:v>0</x:v>
      </x:c>
      <x:c r="BE255" s="176" t="str">
        <x:f t="shared" si="36"/>
        <x:v>0</x:v>
      </x:c>
      <x:c r="BF255" s="176" t="str">
        <x:f t="shared" si="37"/>
        <x:v>0</x:v>
      </x:c>
      <x:c r="BG255" s="176" t="str">
        <x:f t="shared" si="38"/>
        <x:v>0</x:v>
      </x:c>
      <x:c r="BH255" s="176" t="str">
        <x:f t="shared" si="39"/>
        <x:v>0</x:v>
      </x:c>
      <x:c r="BI255" s="176" t="str">
        <x:f t="shared" si="40"/>
        <x:v>0</x:v>
      </x:c>
      <x:c r="BJ255" s="176" t="str">
        <x:f t="shared" si="41"/>
        <x:v>0</x:v>
      </x:c>
      <x:c r="BK255" s="176"/>
      <x:c r="BL255" s="175">
        <x:f t="shared" si="42"/>
        <x:v>0</x:v>
      </x:c>
      <x:c r="BM255" s="177">
        <x:f t="shared" si="43"/>
        <x:v>0</x:v>
      </x:c>
      <x:c r="BN255" s="178">
        <x:f t="shared" si="44"/>
        <x:v>0</x:v>
      </x:c>
      <x:c r="BO255" s="179">
        <x:f t="shared" si="44"/>
        <x:v>0</x:v>
      </x:c>
    </x:row>
    <x:row r="256" s="162" customFormat="1" ht="19.899999618530273" hidden="1" customHeight="1">
      <x:c r="A256" s="170">
        <x:v>6</x:v>
      </x:c>
      <x:c r="B256" s="162" t="str">
        <x:f t="shared" ref="B256:C256" si="48">TEXT(B12,"00")</x:f>
      </x:c>
      <x:c r="C256" s="162" t="str">
        <x:f t="shared" si="48"/>
        <x:v>00</x:v>
      </x:c>
      <x:c r="D256" s="162" t="str">
        <x:f t="shared" si="5"/>
        <x:v>0000</x:v>
      </x:c>
      <x:c r="E256" s="162" t="str">
        <x:f t="shared" si="6"/>
        <x:v>000</x:v>
      </x:c>
      <x:c r="F256" s="171" t="str">
        <x:f t="shared" si="7"/>
        <x:v>0</x:v>
      </x:c>
      <x:c r="G256" s="172">
        <x:f t="shared" si="8"/>
        <x:v>0</x:v>
      </x:c>
      <x:c r="H256" s="173" t="str">
        <x:f t="shared" si="9"/>
        <x:v>0</x:v>
      </x:c>
      <x:c r="I256" s="173" t="str">
        <x:f t="shared" si="10"/>
        <x:v>0</x:v>
      </x:c>
      <x:c r="J256" s="173" t="str">
        <x:f t="shared" si="11"/>
        <x:v>0</x:v>
      </x:c>
      <x:c r="K256" s="173" t="str">
        <x:f t="shared" si="12"/>
        <x:v>0</x:v>
      </x:c>
      <x:c r="L256" s="173" t="str">
        <x:f t="shared" si="13"/>
        <x:v>0</x:v>
      </x:c>
      <x:c r="M256" s="173" t="str">
        <x:f t="shared" si="14"/>
        <x:v>0</x:v>
      </x:c>
      <x:c r="N256" s="173" t="str">
        <x:f t="shared" si="15"/>
        <x:v>0</x:v>
      </x:c>
      <x:c r="O256" s="173" t="str">
        <x:f t="shared" si="16"/>
        <x:v>0</x:v>
      </x:c>
      <x:c r="P256" s="173" t="str">
        <x:f t="shared" si="17"/>
        <x:v>0</x:v>
      </x:c>
      <x:c r="Q256" s="173" t="str">
        <x:f t="shared" si="18"/>
        <x:v>0</x:v>
      </x:c>
      <x:c r="R256" s="173" t="str">
        <x:f t="shared" si="19"/>
        <x:v>0</x:v>
      </x:c>
      <x:c r="S256" s="174">
        <x:v>2</x:v>
      </x:c>
      <x:c r="T256" s="174">
        <x:v>1</x:v>
      </x:c>
      <x:c r="U256" s="174">
        <x:v>2</x:v>
      </x:c>
      <x:c r="V256" s="174">
        <x:v>1</x:v>
      </x:c>
      <x:c r="W256" s="174">
        <x:v>2</x:v>
      </x:c>
      <x:c r="X256" s="174">
        <x:v>1</x:v>
      </x:c>
      <x:c r="Y256" s="174">
        <x:v>2</x:v>
      </x:c>
      <x:c r="Z256" s="174">
        <x:v>1</x:v>
      </x:c>
      <x:c r="AA256" s="174">
        <x:v>2</x:v>
      </x:c>
      <x:c r="AB256" s="174">
        <x:v>1</x:v>
      </x:c>
      <x:c r="AC256" s="174">
        <x:v>2</x:v>
      </x:c>
      <x:c r="AD256" s="175">
        <x:f t="shared" si="3"/>
        <x:v>0</x:v>
      </x:c>
      <x:c r="AE256" s="175">
        <x:f t="shared" si="3"/>
        <x:v>0</x:v>
      </x:c>
      <x:c r="AF256" s="175">
        <x:f t="shared" si="3"/>
        <x:v>0</x:v>
      </x:c>
      <x:c r="AG256" s="175">
        <x:f t="shared" si="3"/>
        <x:v>0</x:v>
      </x:c>
      <x:c r="AH256" s="175">
        <x:f t="shared" si="3"/>
        <x:v>0</x:v>
      </x:c>
      <x:c r="AI256" s="175">
        <x:f t="shared" si="3"/>
        <x:v>0</x:v>
      </x:c>
      <x:c r="AJ256" s="175">
        <x:f t="shared" si="3"/>
        <x:v>0</x:v>
      </x:c>
      <x:c r="AK256" s="175">
        <x:f t="shared" si="3"/>
        <x:v>0</x:v>
      </x:c>
      <x:c r="AL256" s="175">
        <x:f t="shared" si="3"/>
        <x:v>0</x:v>
      </x:c>
      <x:c r="AM256" s="175">
        <x:f t="shared" si="3"/>
        <x:v>0</x:v>
      </x:c>
      <x:c r="AN256" s="175">
        <x:f t="shared" si="3"/>
        <x:v>0</x:v>
      </x:c>
      <x:c r="AO256" s="176" t="str">
        <x:f t="shared" si="20"/>
        <x:v>0</x:v>
      </x:c>
      <x:c r="AP256" s="176" t="str">
        <x:f t="shared" si="21"/>
        <x:v>0</x:v>
      </x:c>
      <x:c r="AQ256" s="176" t="str">
        <x:f t="shared" si="22"/>
        <x:v>0</x:v>
      </x:c>
      <x:c r="AR256" s="176" t="str">
        <x:f t="shared" si="23"/>
        <x:v>0</x:v>
      </x:c>
      <x:c r="AS256" s="176" t="str">
        <x:f t="shared" si="24"/>
        <x:v>0</x:v>
      </x:c>
      <x:c r="AT256" s="176" t="str">
        <x:f t="shared" si="25"/>
        <x:v>0</x:v>
      </x:c>
      <x:c r="AU256" s="176" t="str">
        <x:f t="shared" si="26"/>
        <x:v>0</x:v>
      </x:c>
      <x:c r="AV256" s="176" t="str">
        <x:f t="shared" si="27"/>
        <x:v>0</x:v>
      </x:c>
      <x:c r="AW256" s="176" t="str">
        <x:f t="shared" si="28"/>
        <x:v>0</x:v>
      </x:c>
      <x:c r="AX256" s="176" t="str">
        <x:f t="shared" si="29"/>
        <x:v>0</x:v>
      </x:c>
      <x:c r="AY256" s="176" t="str">
        <x:f t="shared" si="30"/>
        <x:v>0</x:v>
      </x:c>
      <x:c r="AZ256" s="176" t="str">
        <x:f t="shared" si="31"/>
        <x:v>0</x:v>
      </x:c>
      <x:c r="BA256" s="176" t="str">
        <x:f t="shared" si="32"/>
        <x:v>0</x:v>
      </x:c>
      <x:c r="BB256" s="176" t="str">
        <x:f t="shared" si="33"/>
        <x:v>0</x:v>
      </x:c>
      <x:c r="BC256" s="176" t="str">
        <x:f t="shared" si="34"/>
        <x:v>0</x:v>
      </x:c>
      <x:c r="BD256" s="176" t="str">
        <x:f t="shared" si="35"/>
        <x:v>0</x:v>
      </x:c>
      <x:c r="BE256" s="176" t="str">
        <x:f t="shared" si="36"/>
        <x:v>0</x:v>
      </x:c>
      <x:c r="BF256" s="176" t="str">
        <x:f t="shared" si="37"/>
        <x:v>0</x:v>
      </x:c>
      <x:c r="BG256" s="176" t="str">
        <x:f t="shared" si="38"/>
        <x:v>0</x:v>
      </x:c>
      <x:c r="BH256" s="176" t="str">
        <x:f t="shared" si="39"/>
        <x:v>0</x:v>
      </x:c>
      <x:c r="BI256" s="176" t="str">
        <x:f t="shared" si="40"/>
        <x:v>0</x:v>
      </x:c>
      <x:c r="BJ256" s="176" t="str">
        <x:f t="shared" si="41"/>
        <x:v>0</x:v>
      </x:c>
      <x:c r="BK256" s="176"/>
      <x:c r="BL256" s="175">
        <x:f t="shared" si="42"/>
        <x:v>0</x:v>
      </x:c>
      <x:c r="BM256" s="177">
        <x:f t="shared" si="43"/>
        <x:v>0</x:v>
      </x:c>
      <x:c r="BN256" s="178">
        <x:f t="shared" si="44"/>
        <x:v>0</x:v>
      </x:c>
      <x:c r="BO256" s="179">
        <x:f t="shared" si="44"/>
        <x:v>0</x:v>
      </x:c>
    </x:row>
    <x:row r="257" s="162" customFormat="1" ht="19.899999618530273" hidden="1" customHeight="1">
      <x:c r="A257" s="170">
        <x:v>7</x:v>
      </x:c>
      <x:c r="B257" s="162" t="str">
        <x:f t="shared" ref="B257:C257" si="49">TEXT(B13,"00")</x:f>
      </x:c>
      <x:c r="C257" s="162" t="str">
        <x:f t="shared" si="49"/>
        <x:v>00</x:v>
      </x:c>
      <x:c r="D257" s="162" t="str">
        <x:f t="shared" si="5"/>
        <x:v>0000</x:v>
      </x:c>
      <x:c r="E257" s="162" t="str">
        <x:f t="shared" si="6"/>
        <x:v>000</x:v>
      </x:c>
      <x:c r="F257" s="171" t="str">
        <x:f t="shared" si="7"/>
        <x:v>0</x:v>
      </x:c>
      <x:c r="G257" s="172">
        <x:f t="shared" si="8"/>
        <x:v>0</x:v>
      </x:c>
      <x:c r="H257" s="173" t="str">
        <x:f t="shared" si="9"/>
        <x:v>0</x:v>
      </x:c>
      <x:c r="I257" s="173" t="str">
        <x:f t="shared" si="10"/>
        <x:v>0</x:v>
      </x:c>
      <x:c r="J257" s="173" t="str">
        <x:f t="shared" si="11"/>
        <x:v>0</x:v>
      </x:c>
      <x:c r="K257" s="173" t="str">
        <x:f t="shared" si="12"/>
        <x:v>0</x:v>
      </x:c>
      <x:c r="L257" s="173" t="str">
        <x:f t="shared" si="13"/>
        <x:v>0</x:v>
      </x:c>
      <x:c r="M257" s="173" t="str">
        <x:f t="shared" si="14"/>
        <x:v>0</x:v>
      </x:c>
      <x:c r="N257" s="173" t="str">
        <x:f t="shared" si="15"/>
        <x:v>0</x:v>
      </x:c>
      <x:c r="O257" s="173" t="str">
        <x:f t="shared" si="16"/>
        <x:v>0</x:v>
      </x:c>
      <x:c r="P257" s="173" t="str">
        <x:f t="shared" si="17"/>
        <x:v>0</x:v>
      </x:c>
      <x:c r="Q257" s="173" t="str">
        <x:f t="shared" si="18"/>
        <x:v>0</x:v>
      </x:c>
      <x:c r="R257" s="173" t="str">
        <x:f t="shared" si="19"/>
        <x:v>0</x:v>
      </x:c>
      <x:c r="S257" s="174">
        <x:v>2</x:v>
      </x:c>
      <x:c r="T257" s="174">
        <x:v>1</x:v>
      </x:c>
      <x:c r="U257" s="174">
        <x:v>2</x:v>
      </x:c>
      <x:c r="V257" s="174">
        <x:v>1</x:v>
      </x:c>
      <x:c r="W257" s="174">
        <x:v>2</x:v>
      </x:c>
      <x:c r="X257" s="174">
        <x:v>1</x:v>
      </x:c>
      <x:c r="Y257" s="174">
        <x:v>2</x:v>
      </x:c>
      <x:c r="Z257" s="174">
        <x:v>1</x:v>
      </x:c>
      <x:c r="AA257" s="174">
        <x:v>2</x:v>
      </x:c>
      <x:c r="AB257" s="174">
        <x:v>1</x:v>
      </x:c>
      <x:c r="AC257" s="174">
        <x:v>2</x:v>
      </x:c>
      <x:c r="AD257" s="175">
        <x:f t="shared" si="3"/>
        <x:v>0</x:v>
      </x:c>
      <x:c r="AE257" s="175">
        <x:f t="shared" si="3"/>
        <x:v>0</x:v>
      </x:c>
      <x:c r="AF257" s="175">
        <x:f t="shared" si="3"/>
        <x:v>0</x:v>
      </x:c>
      <x:c r="AG257" s="175">
        <x:f t="shared" si="3"/>
        <x:v>0</x:v>
      </x:c>
      <x:c r="AH257" s="175">
        <x:f t="shared" si="3"/>
        <x:v>0</x:v>
      </x:c>
      <x:c r="AI257" s="175">
        <x:f t="shared" si="3"/>
        <x:v>0</x:v>
      </x:c>
      <x:c r="AJ257" s="175">
        <x:f t="shared" si="3"/>
        <x:v>0</x:v>
      </x:c>
      <x:c r="AK257" s="175">
        <x:f t="shared" si="3"/>
        <x:v>0</x:v>
      </x:c>
      <x:c r="AL257" s="175">
        <x:f t="shared" si="3"/>
        <x:v>0</x:v>
      </x:c>
      <x:c r="AM257" s="175">
        <x:f t="shared" si="3"/>
        <x:v>0</x:v>
      </x:c>
      <x:c r="AN257" s="175">
        <x:f t="shared" si="3"/>
        <x:v>0</x:v>
      </x:c>
      <x:c r="AO257" s="176" t="str">
        <x:f t="shared" si="20"/>
        <x:v>0</x:v>
      </x:c>
      <x:c r="AP257" s="176" t="str">
        <x:f t="shared" si="21"/>
        <x:v>0</x:v>
      </x:c>
      <x:c r="AQ257" s="176" t="str">
        <x:f t="shared" si="22"/>
        <x:v>0</x:v>
      </x:c>
      <x:c r="AR257" s="176" t="str">
        <x:f t="shared" si="23"/>
        <x:v>0</x:v>
      </x:c>
      <x:c r="AS257" s="176" t="str">
        <x:f t="shared" si="24"/>
        <x:v>0</x:v>
      </x:c>
      <x:c r="AT257" s="176" t="str">
        <x:f t="shared" si="25"/>
        <x:v>0</x:v>
      </x:c>
      <x:c r="AU257" s="176" t="str">
        <x:f t="shared" si="26"/>
        <x:v>0</x:v>
      </x:c>
      <x:c r="AV257" s="176" t="str">
        <x:f t="shared" si="27"/>
        <x:v>0</x:v>
      </x:c>
      <x:c r="AW257" s="176" t="str">
        <x:f t="shared" si="28"/>
        <x:v>0</x:v>
      </x:c>
      <x:c r="AX257" s="176" t="str">
        <x:f t="shared" si="29"/>
        <x:v>0</x:v>
      </x:c>
      <x:c r="AY257" s="176" t="str">
        <x:f t="shared" si="30"/>
        <x:v>0</x:v>
      </x:c>
      <x:c r="AZ257" s="176" t="str">
        <x:f t="shared" si="31"/>
        <x:v>0</x:v>
      </x:c>
      <x:c r="BA257" s="176" t="str">
        <x:f t="shared" si="32"/>
        <x:v>0</x:v>
      </x:c>
      <x:c r="BB257" s="176" t="str">
        <x:f t="shared" si="33"/>
        <x:v>0</x:v>
      </x:c>
      <x:c r="BC257" s="176" t="str">
        <x:f t="shared" si="34"/>
        <x:v>0</x:v>
      </x:c>
      <x:c r="BD257" s="176" t="str">
        <x:f t="shared" si="35"/>
        <x:v>0</x:v>
      </x:c>
      <x:c r="BE257" s="176" t="str">
        <x:f t="shared" si="36"/>
        <x:v>0</x:v>
      </x:c>
      <x:c r="BF257" s="176" t="str">
        <x:f t="shared" si="37"/>
        <x:v>0</x:v>
      </x:c>
      <x:c r="BG257" s="176" t="str">
        <x:f t="shared" si="38"/>
        <x:v>0</x:v>
      </x:c>
      <x:c r="BH257" s="176" t="str">
        <x:f t="shared" si="39"/>
        <x:v>0</x:v>
      </x:c>
      <x:c r="BI257" s="176" t="str">
        <x:f t="shared" si="40"/>
        <x:v>0</x:v>
      </x:c>
      <x:c r="BJ257" s="176" t="str">
        <x:f t="shared" si="41"/>
        <x:v>0</x:v>
      </x:c>
      <x:c r="BK257" s="176"/>
      <x:c r="BL257" s="175">
        <x:f t="shared" si="42"/>
        <x:v>0</x:v>
      </x:c>
      <x:c r="BM257" s="177">
        <x:f t="shared" si="43"/>
        <x:v>0</x:v>
      </x:c>
      <x:c r="BN257" s="178">
        <x:f t="shared" si="44"/>
        <x:v>0</x:v>
      </x:c>
      <x:c r="BO257" s="179">
        <x:f t="shared" si="44"/>
        <x:v>0</x:v>
      </x:c>
    </x:row>
    <x:row r="258" s="162" customFormat="1" ht="19.899999618530273" hidden="1" customHeight="1">
      <x:c r="A258" s="170">
        <x:v>8</x:v>
      </x:c>
      <x:c r="B258" s="162" t="str">
        <x:f t="shared" ref="B258:C258" si="50">TEXT(B14,"00")</x:f>
      </x:c>
      <x:c r="C258" s="162" t="str">
        <x:f t="shared" si="50"/>
        <x:v>00</x:v>
      </x:c>
      <x:c r="D258" s="162" t="str">
        <x:f t="shared" si="5"/>
        <x:v>0000</x:v>
      </x:c>
      <x:c r="E258" s="162" t="str">
        <x:f t="shared" si="6"/>
        <x:v>000</x:v>
      </x:c>
      <x:c r="F258" s="171" t="str">
        <x:f t="shared" si="7"/>
        <x:v>0</x:v>
      </x:c>
      <x:c r="G258" s="172">
        <x:f t="shared" si="8"/>
        <x:v>0</x:v>
      </x:c>
      <x:c r="H258" s="173" t="str">
        <x:f t="shared" si="9"/>
        <x:v>0</x:v>
      </x:c>
      <x:c r="I258" s="173" t="str">
        <x:f t="shared" si="10"/>
        <x:v>0</x:v>
      </x:c>
      <x:c r="J258" s="173" t="str">
        <x:f t="shared" si="11"/>
        <x:v>0</x:v>
      </x:c>
      <x:c r="K258" s="173" t="str">
        <x:f t="shared" si="12"/>
        <x:v>0</x:v>
      </x:c>
      <x:c r="L258" s="173" t="str">
        <x:f t="shared" si="13"/>
        <x:v>0</x:v>
      </x:c>
      <x:c r="M258" s="173" t="str">
        <x:f t="shared" si="14"/>
        <x:v>0</x:v>
      </x:c>
      <x:c r="N258" s="173" t="str">
        <x:f t="shared" si="15"/>
        <x:v>0</x:v>
      </x:c>
      <x:c r="O258" s="173" t="str">
        <x:f t="shared" si="16"/>
        <x:v>0</x:v>
      </x:c>
      <x:c r="P258" s="173" t="str">
        <x:f t="shared" si="17"/>
        <x:v>0</x:v>
      </x:c>
      <x:c r="Q258" s="173" t="str">
        <x:f t="shared" si="18"/>
        <x:v>0</x:v>
      </x:c>
      <x:c r="R258" s="173" t="str">
        <x:f t="shared" si="19"/>
        <x:v>0</x:v>
      </x:c>
      <x:c r="S258" s="174">
        <x:v>2</x:v>
      </x:c>
      <x:c r="T258" s="174">
        <x:v>1</x:v>
      </x:c>
      <x:c r="U258" s="174">
        <x:v>2</x:v>
      </x:c>
      <x:c r="V258" s="174">
        <x:v>1</x:v>
      </x:c>
      <x:c r="W258" s="174">
        <x:v>2</x:v>
      </x:c>
      <x:c r="X258" s="174">
        <x:v>1</x:v>
      </x:c>
      <x:c r="Y258" s="174">
        <x:v>2</x:v>
      </x:c>
      <x:c r="Z258" s="174">
        <x:v>1</x:v>
      </x:c>
      <x:c r="AA258" s="174">
        <x:v>2</x:v>
      </x:c>
      <x:c r="AB258" s="174">
        <x:v>1</x:v>
      </x:c>
      <x:c r="AC258" s="174">
        <x:v>2</x:v>
      </x:c>
      <x:c r="AD258" s="175">
        <x:f t="shared" si="3"/>
        <x:v>0</x:v>
      </x:c>
      <x:c r="AE258" s="175">
        <x:f t="shared" si="3"/>
        <x:v>0</x:v>
      </x:c>
      <x:c r="AF258" s="175">
        <x:f t="shared" si="3"/>
        <x:v>0</x:v>
      </x:c>
      <x:c r="AG258" s="175">
        <x:f t="shared" si="3"/>
        <x:v>0</x:v>
      </x:c>
      <x:c r="AH258" s="175">
        <x:f t="shared" si="3"/>
        <x:v>0</x:v>
      </x:c>
      <x:c r="AI258" s="175">
        <x:f t="shared" si="3"/>
        <x:v>0</x:v>
      </x:c>
      <x:c r="AJ258" s="175">
        <x:f t="shared" si="3"/>
        <x:v>0</x:v>
      </x:c>
      <x:c r="AK258" s="175">
        <x:f t="shared" si="3"/>
        <x:v>0</x:v>
      </x:c>
      <x:c r="AL258" s="175">
        <x:f t="shared" si="3"/>
        <x:v>0</x:v>
      </x:c>
      <x:c r="AM258" s="175">
        <x:f t="shared" si="3"/>
        <x:v>0</x:v>
      </x:c>
      <x:c r="AN258" s="175">
        <x:f t="shared" si="3"/>
        <x:v>0</x:v>
      </x:c>
      <x:c r="AO258" s="176" t="str">
        <x:f t="shared" si="20"/>
        <x:v>0</x:v>
      </x:c>
      <x:c r="AP258" s="176" t="str">
        <x:f t="shared" si="21"/>
        <x:v>0</x:v>
      </x:c>
      <x:c r="AQ258" s="176" t="str">
        <x:f t="shared" si="22"/>
        <x:v>0</x:v>
      </x:c>
      <x:c r="AR258" s="176" t="str">
        <x:f t="shared" si="23"/>
        <x:v>0</x:v>
      </x:c>
      <x:c r="AS258" s="176" t="str">
        <x:f t="shared" si="24"/>
        <x:v>0</x:v>
      </x:c>
      <x:c r="AT258" s="176" t="str">
        <x:f t="shared" si="25"/>
        <x:v>0</x:v>
      </x:c>
      <x:c r="AU258" s="176" t="str">
        <x:f t="shared" si="26"/>
        <x:v>0</x:v>
      </x:c>
      <x:c r="AV258" s="176" t="str">
        <x:f t="shared" si="27"/>
        <x:v>0</x:v>
      </x:c>
      <x:c r="AW258" s="176" t="str">
        <x:f t="shared" si="28"/>
        <x:v>0</x:v>
      </x:c>
      <x:c r="AX258" s="176" t="str">
        <x:f t="shared" si="29"/>
        <x:v>0</x:v>
      </x:c>
      <x:c r="AY258" s="176" t="str">
        <x:f t="shared" si="30"/>
        <x:v>0</x:v>
      </x:c>
      <x:c r="AZ258" s="176" t="str">
        <x:f t="shared" si="31"/>
        <x:v>0</x:v>
      </x:c>
      <x:c r="BA258" s="176" t="str">
        <x:f t="shared" si="32"/>
        <x:v>0</x:v>
      </x:c>
      <x:c r="BB258" s="176" t="str">
        <x:f t="shared" si="33"/>
        <x:v>0</x:v>
      </x:c>
      <x:c r="BC258" s="176" t="str">
        <x:f t="shared" si="34"/>
        <x:v>0</x:v>
      </x:c>
      <x:c r="BD258" s="176" t="str">
        <x:f t="shared" si="35"/>
        <x:v>0</x:v>
      </x:c>
      <x:c r="BE258" s="176" t="str">
        <x:f t="shared" si="36"/>
        <x:v>0</x:v>
      </x:c>
      <x:c r="BF258" s="176" t="str">
        <x:f t="shared" si="37"/>
        <x:v>0</x:v>
      </x:c>
      <x:c r="BG258" s="176" t="str">
        <x:f t="shared" si="38"/>
        <x:v>0</x:v>
      </x:c>
      <x:c r="BH258" s="176" t="str">
        <x:f t="shared" si="39"/>
        <x:v>0</x:v>
      </x:c>
      <x:c r="BI258" s="176" t="str">
        <x:f t="shared" si="40"/>
        <x:v>0</x:v>
      </x:c>
      <x:c r="BJ258" s="176" t="str">
        <x:f t="shared" si="41"/>
        <x:v>0</x:v>
      </x:c>
      <x:c r="BK258" s="176"/>
      <x:c r="BL258" s="175">
        <x:f t="shared" si="42"/>
        <x:v>0</x:v>
      </x:c>
      <x:c r="BM258" s="177">
        <x:f t="shared" si="43"/>
        <x:v>0</x:v>
      </x:c>
      <x:c r="BN258" s="178">
        <x:f t="shared" si="44"/>
        <x:v>0</x:v>
      </x:c>
      <x:c r="BO258" s="179">
        <x:f t="shared" si="44"/>
        <x:v>0</x:v>
      </x:c>
    </x:row>
    <x:row r="259" s="162" customFormat="1" ht="19.899999618530273" hidden="1" customHeight="1">
      <x:c r="A259" s="170">
        <x:v>9</x:v>
      </x:c>
      <x:c r="B259" s="162" t="str">
        <x:f t="shared" ref="B259:C259" si="51">TEXT(B15,"00")</x:f>
      </x:c>
      <x:c r="C259" s="162" t="str">
        <x:f t="shared" si="51"/>
        <x:v>00</x:v>
      </x:c>
      <x:c r="D259" s="162" t="str">
        <x:f t="shared" si="5"/>
        <x:v>0000</x:v>
      </x:c>
      <x:c r="E259" s="162" t="str">
        <x:f t="shared" si="6"/>
        <x:v>000</x:v>
      </x:c>
      <x:c r="F259" s="171" t="str">
        <x:f t="shared" si="7"/>
        <x:v>0</x:v>
      </x:c>
      <x:c r="G259" s="172">
        <x:f t="shared" si="8"/>
        <x:v>0</x:v>
      </x:c>
      <x:c r="H259" s="173" t="str">
        <x:f t="shared" si="9"/>
        <x:v>0</x:v>
      </x:c>
      <x:c r="I259" s="173" t="str">
        <x:f t="shared" si="10"/>
        <x:v>0</x:v>
      </x:c>
      <x:c r="J259" s="173" t="str">
        <x:f t="shared" si="11"/>
        <x:v>0</x:v>
      </x:c>
      <x:c r="K259" s="173" t="str">
        <x:f t="shared" si="12"/>
        <x:v>0</x:v>
      </x:c>
      <x:c r="L259" s="173" t="str">
        <x:f t="shared" si="13"/>
        <x:v>0</x:v>
      </x:c>
      <x:c r="M259" s="173" t="str">
        <x:f t="shared" si="14"/>
        <x:v>0</x:v>
      </x:c>
      <x:c r="N259" s="173" t="str">
        <x:f t="shared" si="15"/>
        <x:v>0</x:v>
      </x:c>
      <x:c r="O259" s="173" t="str">
        <x:f t="shared" si="16"/>
        <x:v>0</x:v>
      </x:c>
      <x:c r="P259" s="173" t="str">
        <x:f t="shared" si="17"/>
        <x:v>0</x:v>
      </x:c>
      <x:c r="Q259" s="173" t="str">
        <x:f t="shared" si="18"/>
        <x:v>0</x:v>
      </x:c>
      <x:c r="R259" s="173" t="str">
        <x:f t="shared" si="19"/>
        <x:v>0</x:v>
      </x:c>
      <x:c r="S259" s="174">
        <x:v>2</x:v>
      </x:c>
      <x:c r="T259" s="174">
        <x:v>1</x:v>
      </x:c>
      <x:c r="U259" s="174">
        <x:v>2</x:v>
      </x:c>
      <x:c r="V259" s="174">
        <x:v>1</x:v>
      </x:c>
      <x:c r="W259" s="174">
        <x:v>2</x:v>
      </x:c>
      <x:c r="X259" s="174">
        <x:v>1</x:v>
      </x:c>
      <x:c r="Y259" s="174">
        <x:v>2</x:v>
      </x:c>
      <x:c r="Z259" s="174">
        <x:v>1</x:v>
      </x:c>
      <x:c r="AA259" s="174">
        <x:v>2</x:v>
      </x:c>
      <x:c r="AB259" s="174">
        <x:v>1</x:v>
      </x:c>
      <x:c r="AC259" s="174">
        <x:v>2</x:v>
      </x:c>
      <x:c r="AD259" s="175">
        <x:f t="shared" si="3"/>
        <x:v>0</x:v>
      </x:c>
      <x:c r="AE259" s="175">
        <x:f t="shared" si="3"/>
        <x:v>0</x:v>
      </x:c>
      <x:c r="AF259" s="175">
        <x:f t="shared" si="3"/>
        <x:v>0</x:v>
      </x:c>
      <x:c r="AG259" s="175">
        <x:f t="shared" si="3"/>
        <x:v>0</x:v>
      </x:c>
      <x:c r="AH259" s="175">
        <x:f t="shared" si="3"/>
        <x:v>0</x:v>
      </x:c>
      <x:c r="AI259" s="175">
        <x:f t="shared" si="3"/>
        <x:v>0</x:v>
      </x:c>
      <x:c r="AJ259" s="175">
        <x:f t="shared" si="3"/>
        <x:v>0</x:v>
      </x:c>
      <x:c r="AK259" s="175">
        <x:f t="shared" si="3"/>
        <x:v>0</x:v>
      </x:c>
      <x:c r="AL259" s="175">
        <x:f t="shared" si="3"/>
        <x:v>0</x:v>
      </x:c>
      <x:c r="AM259" s="175">
        <x:f t="shared" si="3"/>
        <x:v>0</x:v>
      </x:c>
      <x:c r="AN259" s="175">
        <x:f t="shared" si="3"/>
        <x:v>0</x:v>
      </x:c>
      <x:c r="AO259" s="176" t="str">
        <x:f t="shared" si="20"/>
        <x:v>0</x:v>
      </x:c>
      <x:c r="AP259" s="176" t="str">
        <x:f t="shared" si="21"/>
        <x:v>0</x:v>
      </x:c>
      <x:c r="AQ259" s="176" t="str">
        <x:f t="shared" si="22"/>
        <x:v>0</x:v>
      </x:c>
      <x:c r="AR259" s="176" t="str">
        <x:f t="shared" si="23"/>
        <x:v>0</x:v>
      </x:c>
      <x:c r="AS259" s="176" t="str">
        <x:f t="shared" si="24"/>
        <x:v>0</x:v>
      </x:c>
      <x:c r="AT259" s="176" t="str">
        <x:f t="shared" si="25"/>
        <x:v>0</x:v>
      </x:c>
      <x:c r="AU259" s="176" t="str">
        <x:f t="shared" si="26"/>
        <x:v>0</x:v>
      </x:c>
      <x:c r="AV259" s="176" t="str">
        <x:f t="shared" si="27"/>
        <x:v>0</x:v>
      </x:c>
      <x:c r="AW259" s="176" t="str">
        <x:f t="shared" si="28"/>
        <x:v>0</x:v>
      </x:c>
      <x:c r="AX259" s="176" t="str">
        <x:f t="shared" si="29"/>
        <x:v>0</x:v>
      </x:c>
      <x:c r="AY259" s="176" t="str">
        <x:f t="shared" si="30"/>
        <x:v>0</x:v>
      </x:c>
      <x:c r="AZ259" s="176" t="str">
        <x:f t="shared" si="31"/>
        <x:v>0</x:v>
      </x:c>
      <x:c r="BA259" s="176" t="str">
        <x:f t="shared" si="32"/>
        <x:v>0</x:v>
      </x:c>
      <x:c r="BB259" s="176" t="str">
        <x:f t="shared" si="33"/>
        <x:v>0</x:v>
      </x:c>
      <x:c r="BC259" s="176" t="str">
        <x:f t="shared" si="34"/>
        <x:v>0</x:v>
      </x:c>
      <x:c r="BD259" s="176" t="str">
        <x:f t="shared" si="35"/>
        <x:v>0</x:v>
      </x:c>
      <x:c r="BE259" s="176" t="str">
        <x:f t="shared" si="36"/>
        <x:v>0</x:v>
      </x:c>
      <x:c r="BF259" s="176" t="str">
        <x:f t="shared" si="37"/>
        <x:v>0</x:v>
      </x:c>
      <x:c r="BG259" s="176" t="str">
        <x:f t="shared" si="38"/>
        <x:v>0</x:v>
      </x:c>
      <x:c r="BH259" s="176" t="str">
        <x:f t="shared" si="39"/>
        <x:v>0</x:v>
      </x:c>
      <x:c r="BI259" s="176" t="str">
        <x:f t="shared" si="40"/>
        <x:v>0</x:v>
      </x:c>
      <x:c r="BJ259" s="176" t="str">
        <x:f t="shared" si="41"/>
        <x:v>0</x:v>
      </x:c>
      <x:c r="BK259" s="176"/>
      <x:c r="BL259" s="175">
        <x:f t="shared" si="42"/>
        <x:v>0</x:v>
      </x:c>
      <x:c r="BM259" s="177">
        <x:f t="shared" si="43"/>
        <x:v>0</x:v>
      </x:c>
      <x:c r="BN259" s="178">
        <x:f t="shared" si="44"/>
        <x:v>0</x:v>
      </x:c>
      <x:c r="BO259" s="179">
        <x:f t="shared" si="44"/>
        <x:v>0</x:v>
      </x:c>
    </x:row>
    <x:row r="260" s="162" customFormat="1" ht="19.899999618530273" hidden="1" customHeight="1">
      <x:c r="A260" s="170">
        <x:v>10</x:v>
      </x:c>
      <x:c r="B260" s="162" t="str">
        <x:f t="shared" ref="B260:C260" si="52">TEXT(B16,"00")</x:f>
      </x:c>
      <x:c r="C260" s="162" t="str">
        <x:f t="shared" si="52"/>
        <x:v>00</x:v>
      </x:c>
      <x:c r="D260" s="162" t="str">
        <x:f t="shared" si="5"/>
        <x:v>0000</x:v>
      </x:c>
      <x:c r="E260" s="162" t="str">
        <x:f t="shared" si="6"/>
        <x:v>000</x:v>
      </x:c>
      <x:c r="F260" s="171" t="str">
        <x:f t="shared" si="7"/>
        <x:v>0</x:v>
      </x:c>
      <x:c r="G260" s="172" t="n">
        <x:f>BM260-BL260</x:f>
        <x:v>8</x:v>
      </x:c>
      <x:c r="H260" s="173" t="str">
        <x:f>MID(B260,1,1)</x:f>
      </x:c>
      <x:c r="I260" s="173" t="str">
        <x:f>MID(B260,2,1)</x:f>
      </x:c>
      <x:c r="J260" s="173" t="n">
        <x:f>MID(C260,1,1)</x:f>
        <x:v>1</x:v>
      </x:c>
      <x:c r="K260" s="173" t="n">
        <x:f>MID(C260,2,1)</x:f>
        <x:v>1</x:v>
      </x:c>
      <x:c r="L260" s="173" t="n">
        <x:f>MID(D260,1,1)</x:f>
        <x:v>1</x:v>
      </x:c>
      <x:c r="M260" s="173" t="n">
        <x:f>MID(D260,2,1)</x:f>
        <x:v>1</x:v>
      </x:c>
      <x:c r="N260" s="173" t="n">
        <x:f>MID(D260,3,1)</x:f>
        <x:v>1</x:v>
      </x:c>
      <x:c r="O260" s="173" t="n">
        <x:f>MID(D260,4,1)</x:f>
        <x:v>1</x:v>
      </x:c>
      <x:c r="P260" s="173" t="n">
        <x:f>MID(E260,1,1)</x:f>
        <x:v>1</x:v>
      </x:c>
      <x:c r="Q260" s="173" t="n">
        <x:f>MID(E260,2,1)</x:f>
        <x:v>1</x:v>
      </x:c>
      <x:c r="R260" s="173" t="n">
        <x:f>MID(E260,3,1)</x:f>
        <x:v>1</x:v>
      </x:c>
      <x:c r="S260" s="174">
        <x:v>2</x:v>
      </x:c>
      <x:c r="T260" s="174">
        <x:v>1</x:v>
      </x:c>
      <x:c r="U260" s="174">
        <x:v>2</x:v>
      </x:c>
      <x:c r="V260" s="174">
        <x:v>1</x:v>
      </x:c>
      <x:c r="W260" s="174">
        <x:v>2</x:v>
      </x:c>
      <x:c r="X260" s="174">
        <x:v>1</x:v>
      </x:c>
      <x:c r="Y260" s="174">
        <x:v>2</x:v>
      </x:c>
      <x:c r="Z260" s="174">
        <x:v>1</x:v>
      </x:c>
      <x:c r="AA260" s="174">
        <x:v>2</x:v>
      </x:c>
      <x:c r="AB260" s="174">
        <x:v>1</x:v>
      </x:c>
      <x:c r="AC260" s="174">
        <x:v>2</x:v>
      </x:c>
      <x:c r="AD260" s="175">
        <x:f t="shared" si="3"/>
        <x:v>0</x:v>
      </x:c>
      <x:c r="AE260" s="175">
        <x:f t="shared" si="3"/>
        <x:v>0</x:v>
      </x:c>
      <x:c r="AF260" s="175">
        <x:f t="shared" si="3"/>
        <x:v>0</x:v>
      </x:c>
      <x:c r="AG260" s="175">
        <x:f t="shared" si="3"/>
        <x:v>0</x:v>
      </x:c>
      <x:c r="AH260" s="175">
        <x:f t="shared" si="3"/>
        <x:v>0</x:v>
      </x:c>
      <x:c r="AI260" s="175">
        <x:f t="shared" si="3"/>
        <x:v>0</x:v>
      </x:c>
      <x:c r="AJ260" s="175">
        <x:f t="shared" si="3"/>
        <x:v>0</x:v>
      </x:c>
      <x:c r="AK260" s="175">
        <x:f t="shared" si="3"/>
        <x:v>0</x:v>
      </x:c>
      <x:c r="AL260" s="175">
        <x:f t="shared" si="3"/>
        <x:v>0</x:v>
      </x:c>
      <x:c r="AM260" s="175">
        <x:f t="shared" si="3"/>
        <x:v>0</x:v>
      </x:c>
      <x:c r="AN260" s="175">
        <x:f t="shared" si="3"/>
        <x:v>0</x:v>
      </x:c>
      <x:c r="AO260" s="176" t="n">
        <x:f>MID(AD260,1,1)</x:f>
        <x:v>1</x:v>
      </x:c>
      <x:c r="AP260" s="176" t="n">
        <x:f>IF(MID(AD260,2,1)="","0",MID(AD260,2,1))</x:f>
        <x:v>1</x:v>
      </x:c>
      <x:c r="AQ260" s="176" t="n">
        <x:f>MID(AE260,1,1)</x:f>
        <x:v>1</x:v>
      </x:c>
      <x:c r="AR260" s="176" t="n">
        <x:f>IF(MID(AE260,2,1)="","0",MID(AE260,2,1))</x:f>
        <x:v>1</x:v>
      </x:c>
      <x:c r="AS260" s="176" t="n">
        <x:f>MID(AF260,1,1)</x:f>
        <x:v>1</x:v>
      </x:c>
      <x:c r="AT260" s="176" t="n">
        <x:f>IF(MID(AF260,2,1)="","0",MID(AF260,2,1))</x:f>
        <x:v>1</x:v>
      </x:c>
      <x:c r="AU260" s="176" t="n">
        <x:f>MID(AG260,1,1)</x:f>
        <x:v>1</x:v>
      </x:c>
      <x:c r="AV260" s="176" t="n">
        <x:f>IF(MID(AG260,2,1)="","0",MID(AG260,2,1))</x:f>
        <x:v>1</x:v>
      </x:c>
      <x:c r="AW260" s="176" t="n">
        <x:f>MID(AH260,1,1)</x:f>
        <x:v>1</x:v>
      </x:c>
      <x:c r="AX260" s="176" t="n">
        <x:f>IF(MID(AH260,2,1)="","0",MID(AH260,2,1))</x:f>
        <x:v>1</x:v>
      </x:c>
      <x:c r="AY260" s="176" t="n">
        <x:f>MID(AI260,1,1)</x:f>
        <x:v>1</x:v>
      </x:c>
      <x:c r="AZ260" s="176" t="n">
        <x:f>IF(MID(AI260,2,1)="","0",MID(AI260,2,1))</x:f>
        <x:v>1</x:v>
      </x:c>
      <x:c r="BA260" s="176" t="n">
        <x:f>MID(AJ260,1,1)</x:f>
        <x:v>1</x:v>
      </x:c>
      <x:c r="BB260" s="176" t="n">
        <x:f>IF(MID(AJ260,2,1)="","0",MID(AJ260,2,1))</x:f>
        <x:v>1</x:v>
      </x:c>
      <x:c r="BC260" s="176" t="n">
        <x:f>MID(AK260,1,1)</x:f>
        <x:v>1</x:v>
      </x:c>
      <x:c r="BD260" s="176" t="n">
        <x:f>IF(MID(AK260,2,1)="","0",MID(AK260,2,1))</x:f>
        <x:v>1</x:v>
      </x:c>
      <x:c r="BE260" s="176" t="n">
        <x:f>MID(AL260,1,1)</x:f>
        <x:v>1</x:v>
      </x:c>
      <x:c r="BF260" s="176" t="n">
        <x:f>IF(MID(AL260,2,1)="","0",MID(AL260,2,1))</x:f>
        <x:v>1</x:v>
      </x:c>
      <x:c r="BG260" s="176" t="n">
        <x:f>MID(AM260,1,1)</x:f>
        <x:v>1</x:v>
      </x:c>
      <x:c r="BH260" s="176" t="n">
        <x:f>IF(MID(AM260,2,1)="","0",MID(AM260,2,1))</x:f>
        <x:v>1</x:v>
      </x:c>
      <x:c r="BI260" s="176" t="n">
        <x:f>MID(AN260,1,1)</x:f>
        <x:v>1</x:v>
      </x:c>
      <x:c r="BJ260" s="176" t="n">
        <x:f>IF(MID(AN260,2,1)="","0",MID(AN260,2,1))</x:f>
        <x:v>1</x:v>
      </x:c>
      <x:c r="BK260" s="176"/>
      <x:c r="BL260" s="175" t="n">
        <x:f>BJ260+BI260+BH260+BG260+BF260+BE260+BD260+BC260+BB260+BA260+AZ260+AY260+AX260+AW260+AV260+AU260+AT260+AS260+AR260+AQ260+AP260+AO260</x:f>
        <x:v>22</x:v>
      </x:c>
      <x:c r="BM260" s="177" t="n">
        <x:f>ROUNDUP(BL260/10,0)*10</x:f>
        <x:v>30</x:v>
      </x:c>
      <x:c r="BN260" s="178" t="n">
        <x:f>BM260-BL260</x:f>
        <x:v>8</x:v>
      </x:c>
      <x:c r="BO260" s="179" t="n">
        <x:f>BN260-BM260</x:f>
        <x:v>-22</x:v>
      </x:c>
    </x:row>
    <x:row r="261" s="162" customFormat="1" ht="19.899999618530273" hidden="1" customHeight="1">
      <x:c r="A261" s="170">
        <x:v>11</x:v>
      </x:c>
      <x:c r="B261" s="162" t="str">
        <x:f t="shared" ref="B261:C261" si="53">TEXT(B17,"00")</x:f>
      </x:c>
      <x:c r="C261" s="162" t="str">
        <x:f t="shared" si="53"/>
        <x:v>00</x:v>
      </x:c>
      <x:c r="D261" s="162" t="str">
        <x:f t="shared" si="5"/>
        <x:v>0000</x:v>
      </x:c>
      <x:c r="E261" s="162" t="str">
        <x:f t="shared" si="6"/>
        <x:v>000</x:v>
      </x:c>
      <x:c r="F261" s="171" t="str">
        <x:f t="shared" si="7"/>
        <x:v>0</x:v>
      </x:c>
      <x:c r="G261" s="172" t="n">
        <x:f t="shared" ref="G261:G290" si="54">BM261-BL261</x:f>
        <x:v>-22</x:v>
      </x:c>
      <x:c r="H261" s="173" t="str">
        <x:f t="shared" ref="H261:H290" si="55">MID(B261,1,1)</x:f>
      </x:c>
      <x:c r="I261" s="173" t="str">
        <x:f t="shared" ref="I261:I290" si="56">MID(B261,2,1)</x:f>
      </x:c>
      <x:c r="J261" s="173" t="n">
        <x:f t="shared" ref="J261:J290" si="57">MID(C261,1,1)</x:f>
        <x:v>1</x:v>
      </x:c>
      <x:c r="K261" s="173" t="n">
        <x:f t="shared" ref="K261:K290" si="58">MID(C261,2,1)</x:f>
        <x:v>1</x:v>
      </x:c>
      <x:c r="L261" s="173" t="n">
        <x:f t="shared" ref="L261:L290" si="59">MID(D261,1,1)</x:f>
        <x:v>1</x:v>
      </x:c>
      <x:c r="M261" s="173" t="n">
        <x:f t="shared" ref="M261:M290" si="60">MID(D261,2,1)</x:f>
        <x:v>1</x:v>
      </x:c>
      <x:c r="N261" s="173" t="n">
        <x:f t="shared" ref="N261:N290" si="61">MID(D261,3,1)</x:f>
        <x:v>1</x:v>
      </x:c>
      <x:c r="O261" s="173" t="n">
        <x:f t="shared" ref="O261:O290" si="62">MID(D261,4,1)</x:f>
        <x:v>1</x:v>
      </x:c>
      <x:c r="P261" s="173" t="n">
        <x:f t="shared" ref="P261:P290" si="63">MID(E261,1,1)</x:f>
        <x:v>1</x:v>
      </x:c>
      <x:c r="Q261" s="173" t="n">
        <x:f t="shared" ref="Q261:Q290" si="64">MID(E261,2,1)</x:f>
        <x:v>1</x:v>
      </x:c>
      <x:c r="R261" s="173" t="n">
        <x:f t="shared" ref="R261:R290" si="65">MID(E261,3,1)</x:f>
        <x:v>1</x:v>
      </x:c>
      <x:c r="S261" s="174">
        <x:v>2</x:v>
      </x:c>
      <x:c r="T261" s="174">
        <x:v>1</x:v>
      </x:c>
      <x:c r="U261" s="174">
        <x:v>2</x:v>
      </x:c>
      <x:c r="V261" s="174">
        <x:v>1</x:v>
      </x:c>
      <x:c r="W261" s="174">
        <x:v>2</x:v>
      </x:c>
      <x:c r="X261" s="174">
        <x:v>1</x:v>
      </x:c>
      <x:c r="Y261" s="174">
        <x:v>2</x:v>
      </x:c>
      <x:c r="Z261" s="174">
        <x:v>1</x:v>
      </x:c>
      <x:c r="AA261" s="174">
        <x:v>2</x:v>
      </x:c>
      <x:c r="AB261" s="174">
        <x:v>1</x:v>
      </x:c>
      <x:c r="AC261" s="174">
        <x:v>2</x:v>
      </x:c>
      <x:c r="AD261" s="175">
        <x:f t="shared" si="3"/>
        <x:v>0</x:v>
      </x:c>
      <x:c r="AE261" s="175">
        <x:f t="shared" si="3"/>
        <x:v>0</x:v>
      </x:c>
      <x:c r="AF261" s="175">
        <x:f t="shared" si="3"/>
        <x:v>0</x:v>
      </x:c>
      <x:c r="AG261" s="175">
        <x:f t="shared" si="3"/>
        <x:v>0</x:v>
      </x:c>
      <x:c r="AH261" s="175">
        <x:f t="shared" si="3"/>
        <x:v>0</x:v>
      </x:c>
      <x:c r="AI261" s="175">
        <x:f t="shared" si="3"/>
        <x:v>0</x:v>
      </x:c>
      <x:c r="AJ261" s="175">
        <x:f t="shared" si="3"/>
        <x:v>0</x:v>
      </x:c>
      <x:c r="AK261" s="175">
        <x:f t="shared" si="3"/>
        <x:v>0</x:v>
      </x:c>
      <x:c r="AL261" s="175">
        <x:f t="shared" si="3"/>
        <x:v>0</x:v>
      </x:c>
      <x:c r="AM261" s="175">
        <x:f t="shared" si="3"/>
        <x:v>0</x:v>
      </x:c>
      <x:c r="AN261" s="175">
        <x:f t="shared" si="3"/>
        <x:v>0</x:v>
      </x:c>
      <x:c r="AO261" s="176" t="n">
        <x:f t="shared" ref="AO261:AO290" si="66">MID(AD261,1,1)</x:f>
        <x:v>1</x:v>
      </x:c>
      <x:c r="AP261" s="176" t="n">
        <x:f t="shared" ref="AP261:AP290" si="67">IF(MID(AD261,2,1)="","0",MID(AD261,2,1))</x:f>
        <x:v>1</x:v>
      </x:c>
      <x:c r="AQ261" s="176" t="n">
        <x:f t="shared" ref="AQ261:AQ290" si="68">MID(AE261,1,1)</x:f>
        <x:v>1</x:v>
      </x:c>
      <x:c r="AR261" s="176" t="n">
        <x:f t="shared" ref="AR261:AR290" si="69">IF(MID(AE261,2,1)="","0",MID(AE261,2,1))</x:f>
        <x:v>1</x:v>
      </x:c>
      <x:c r="AS261" s="176" t="n">
        <x:f t="shared" ref="AS261:AS290" si="70">MID(AF261,1,1)</x:f>
        <x:v>1</x:v>
      </x:c>
      <x:c r="AT261" s="176" t="n">
        <x:f t="shared" ref="AT261:AT290" si="71">IF(MID(AF261,2,1)="","0",MID(AF261,2,1))</x:f>
        <x:v>1</x:v>
      </x:c>
      <x:c r="AU261" s="176" t="n">
        <x:f t="shared" ref="AU261:AU290" si="72">MID(AG261,1,1)</x:f>
        <x:v>1</x:v>
      </x:c>
      <x:c r="AV261" s="176" t="n">
        <x:f t="shared" ref="AV261:AV290" si="73">IF(MID(AG261,2,1)="","0",MID(AG261,2,1))</x:f>
        <x:v>1</x:v>
      </x:c>
      <x:c r="AW261" s="176" t="n">
        <x:f t="shared" ref="AW261:AW290" si="74">MID(AH261,1,1)</x:f>
        <x:v>1</x:v>
      </x:c>
      <x:c r="AX261" s="176" t="n">
        <x:f t="shared" ref="AX261:AX290" si="75">IF(MID(AH261,2,1)="","0",MID(AH261,2,1))</x:f>
        <x:v>1</x:v>
      </x:c>
      <x:c r="AY261" s="176" t="n">
        <x:f t="shared" ref="AY261:AY290" si="76">MID(AI261,1,1)</x:f>
        <x:v>1</x:v>
      </x:c>
      <x:c r="AZ261" s="176" t="n">
        <x:f t="shared" ref="AZ261:AZ290" si="77">IF(MID(AI261,2,1)="","0",MID(AI261,2,1))</x:f>
        <x:v>1</x:v>
      </x:c>
      <x:c r="BA261" s="176" t="n">
        <x:f t="shared" ref="BA261:BA290" si="78">MID(AJ261,1,1)</x:f>
        <x:v>1</x:v>
      </x:c>
      <x:c r="BB261" s="176" t="n">
        <x:f t="shared" ref="BB261:BB290" si="79">IF(MID(AJ261,2,1)="","0",MID(AJ261,2,1))</x:f>
        <x:v>1</x:v>
      </x:c>
      <x:c r="BC261" s="176" t="n">
        <x:f t="shared" ref="BC261:BC290" si="80">MID(AK261,1,1)</x:f>
        <x:v>1</x:v>
      </x:c>
      <x:c r="BD261" s="176" t="n">
        <x:f t="shared" ref="BD261:BD290" si="81">IF(MID(AK261,2,1)="","0",MID(AK261,2,1))</x:f>
        <x:v>1</x:v>
      </x:c>
      <x:c r="BE261" s="176" t="n">
        <x:f t="shared" ref="BE261:BE290" si="82">MID(AL261,1,1)</x:f>
        <x:v>1</x:v>
      </x:c>
      <x:c r="BF261" s="176" t="n">
        <x:f t="shared" ref="BF261:BF290" si="83">IF(MID(AL261,2,1)="","0",MID(AL261,2,1))</x:f>
        <x:v>1</x:v>
      </x:c>
      <x:c r="BG261" s="176" t="n">
        <x:f t="shared" ref="BG261:BG290" si="84">MID(AM261,1,1)</x:f>
        <x:v>1</x:v>
      </x:c>
      <x:c r="BH261" s="176" t="n">
        <x:f t="shared" ref="BH261:BH290" si="85">IF(MID(AM261,2,1)="","0",MID(AM261,2,1))</x:f>
        <x:v>1</x:v>
      </x:c>
      <x:c r="BI261" s="176" t="n">
        <x:f t="shared" ref="BI261:BI290" si="86">MID(AN261,1,1)</x:f>
        <x:v>1</x:v>
      </x:c>
      <x:c r="BJ261" s="176" t="n">
        <x:f t="shared" ref="BJ261:BJ290" si="87">IF(MID(AN261,2,1)="","0",MID(AN261,2,1))</x:f>
        <x:v>1</x:v>
      </x:c>
      <x:c r="BK261" s="176"/>
      <x:c r="BL261" s="175" t="n">
        <x:f t="shared" ref="BL261:BL290" si="88">BJ261+BI261+BH261+BG261+BF261+BE261+BD261+BC261+BB261+BA261+AZ261+AY261+AX261+AW261+AV261+AU261+AT261+AS261+AR261+AQ261+AP261+AO261</x:f>
        <x:v>22</x:v>
      </x:c>
      <x:c r="BM261" s="177">
        <x:f t="shared" si="43"/>
        <x:v>0</x:v>
      </x:c>
      <x:c r="BN261" s="178" t="n">
        <x:f t="shared" ref="BN261:BO277" si="89">BM261-BL261</x:f>
        <x:v>-22</x:v>
      </x:c>
      <x:c r="BO261" s="179">
        <x:f t="shared" si="89"/>
        <x:v>0</x:v>
      </x:c>
    </x:row>
    <x:row r="262" s="162" customFormat="1" ht="19.899999618530273" hidden="1" customHeight="1">
      <x:c r="A262" s="170">
        <x:v>12</x:v>
      </x:c>
      <x:c r="B262" s="162" t="str">
        <x:f t="shared" ref="B262:C262" si="90">TEXT(B18,"00")</x:f>
      </x:c>
      <x:c r="C262" s="162" t="str">
        <x:f t="shared" si="90"/>
        <x:v>00</x:v>
      </x:c>
      <x:c r="D262" s="162" t="str">
        <x:f t="shared" si="5"/>
        <x:v>0000</x:v>
      </x:c>
      <x:c r="E262" s="162" t="str">
        <x:f t="shared" si="6"/>
        <x:v>000</x:v>
      </x:c>
      <x:c r="F262" s="171" t="str">
        <x:f t="shared" si="7"/>
        <x:v>0</x:v>
      </x:c>
      <x:c r="G262" s="172">
        <x:f t="shared" si="54"/>
        <x:v>0</x:v>
      </x:c>
      <x:c r="H262" s="173" t="str">
        <x:f t="shared" si="55"/>
        <x:v>0</x:v>
      </x:c>
      <x:c r="I262" s="173" t="str">
        <x:f t="shared" si="56"/>
        <x:v>0</x:v>
      </x:c>
      <x:c r="J262" s="173" t="str">
        <x:f t="shared" si="57"/>
        <x:v>0</x:v>
      </x:c>
      <x:c r="K262" s="173" t="str">
        <x:f t="shared" si="58"/>
        <x:v>0</x:v>
      </x:c>
      <x:c r="L262" s="173" t="str">
        <x:f t="shared" si="59"/>
        <x:v>0</x:v>
      </x:c>
      <x:c r="M262" s="173" t="str">
        <x:f t="shared" si="60"/>
        <x:v>0</x:v>
      </x:c>
      <x:c r="N262" s="173" t="str">
        <x:f t="shared" si="61"/>
        <x:v>0</x:v>
      </x:c>
      <x:c r="O262" s="173" t="str">
        <x:f t="shared" si="62"/>
        <x:v>0</x:v>
      </x:c>
      <x:c r="P262" s="173" t="str">
        <x:f t="shared" si="63"/>
        <x:v>0</x:v>
      </x:c>
      <x:c r="Q262" s="173" t="str">
        <x:f t="shared" si="64"/>
        <x:v>0</x:v>
      </x:c>
      <x:c r="R262" s="173" t="str">
        <x:f t="shared" si="65"/>
        <x:v>0</x:v>
      </x:c>
      <x:c r="S262" s="174">
        <x:v>2</x:v>
      </x:c>
      <x:c r="T262" s="174">
        <x:v>1</x:v>
      </x:c>
      <x:c r="U262" s="174">
        <x:v>2</x:v>
      </x:c>
      <x:c r="V262" s="174">
        <x:v>1</x:v>
      </x:c>
      <x:c r="W262" s="174">
        <x:v>2</x:v>
      </x:c>
      <x:c r="X262" s="174">
        <x:v>1</x:v>
      </x:c>
      <x:c r="Y262" s="174">
        <x:v>2</x:v>
      </x:c>
      <x:c r="Z262" s="174">
        <x:v>1</x:v>
      </x:c>
      <x:c r="AA262" s="174">
        <x:v>2</x:v>
      </x:c>
      <x:c r="AB262" s="174">
        <x:v>1</x:v>
      </x:c>
      <x:c r="AC262" s="174">
        <x:v>2</x:v>
      </x:c>
      <x:c r="AD262" s="175">
        <x:f t="shared" si="3"/>
        <x:v>0</x:v>
      </x:c>
      <x:c r="AE262" s="175">
        <x:f t="shared" si="3"/>
        <x:v>0</x:v>
      </x:c>
      <x:c r="AF262" s="175">
        <x:f t="shared" si="3"/>
        <x:v>0</x:v>
      </x:c>
      <x:c r="AG262" s="175">
        <x:f t="shared" si="3"/>
        <x:v>0</x:v>
      </x:c>
      <x:c r="AH262" s="175">
        <x:f t="shared" si="3"/>
        <x:v>0</x:v>
      </x:c>
      <x:c r="AI262" s="175">
        <x:f t="shared" si="3"/>
        <x:v>0</x:v>
      </x:c>
      <x:c r="AJ262" s="175">
        <x:f t="shared" si="3"/>
        <x:v>0</x:v>
      </x:c>
      <x:c r="AK262" s="175">
        <x:f t="shared" si="3"/>
        <x:v>0</x:v>
      </x:c>
      <x:c r="AL262" s="175">
        <x:f t="shared" si="3"/>
        <x:v>0</x:v>
      </x:c>
      <x:c r="AM262" s="175">
        <x:f t="shared" si="3"/>
        <x:v>0</x:v>
      </x:c>
      <x:c r="AN262" s="175">
        <x:f t="shared" si="3"/>
        <x:v>0</x:v>
      </x:c>
      <x:c r="AO262" s="176" t="str">
        <x:f t="shared" si="66"/>
        <x:v>0</x:v>
      </x:c>
      <x:c r="AP262" s="176" t="str">
        <x:f t="shared" si="67"/>
        <x:v>0</x:v>
      </x:c>
      <x:c r="AQ262" s="176" t="str">
        <x:f t="shared" si="68"/>
        <x:v>0</x:v>
      </x:c>
      <x:c r="AR262" s="176" t="str">
        <x:f t="shared" si="69"/>
        <x:v>0</x:v>
      </x:c>
      <x:c r="AS262" s="176" t="str">
        <x:f t="shared" si="70"/>
        <x:v>0</x:v>
      </x:c>
      <x:c r="AT262" s="176" t="str">
        <x:f t="shared" si="71"/>
        <x:v>0</x:v>
      </x:c>
      <x:c r="AU262" s="176" t="str">
        <x:f t="shared" si="72"/>
        <x:v>0</x:v>
      </x:c>
      <x:c r="AV262" s="176" t="str">
        <x:f t="shared" si="73"/>
        <x:v>0</x:v>
      </x:c>
      <x:c r="AW262" s="176" t="str">
        <x:f t="shared" si="74"/>
        <x:v>0</x:v>
      </x:c>
      <x:c r="AX262" s="176" t="str">
        <x:f t="shared" si="75"/>
        <x:v>0</x:v>
      </x:c>
      <x:c r="AY262" s="176" t="str">
        <x:f t="shared" si="76"/>
        <x:v>0</x:v>
      </x:c>
      <x:c r="AZ262" s="176" t="str">
        <x:f t="shared" si="77"/>
        <x:v>0</x:v>
      </x:c>
      <x:c r="BA262" s="176" t="str">
        <x:f t="shared" si="78"/>
        <x:v>0</x:v>
      </x:c>
      <x:c r="BB262" s="176" t="str">
        <x:f t="shared" si="79"/>
        <x:v>0</x:v>
      </x:c>
      <x:c r="BC262" s="176" t="str">
        <x:f t="shared" si="80"/>
        <x:v>0</x:v>
      </x:c>
      <x:c r="BD262" s="176" t="str">
        <x:f t="shared" si="81"/>
        <x:v>0</x:v>
      </x:c>
      <x:c r="BE262" s="176" t="str">
        <x:f t="shared" si="82"/>
        <x:v>0</x:v>
      </x:c>
      <x:c r="BF262" s="176" t="str">
        <x:f t="shared" si="83"/>
        <x:v>0</x:v>
      </x:c>
      <x:c r="BG262" s="176" t="str">
        <x:f t="shared" si="84"/>
        <x:v>0</x:v>
      </x:c>
      <x:c r="BH262" s="176" t="str">
        <x:f t="shared" si="85"/>
        <x:v>0</x:v>
      </x:c>
      <x:c r="BI262" s="176" t="str">
        <x:f t="shared" si="86"/>
        <x:v>0</x:v>
      </x:c>
      <x:c r="BJ262" s="176" t="str">
        <x:f t="shared" si="87"/>
        <x:v>0</x:v>
      </x:c>
      <x:c r="BK262" s="176"/>
      <x:c r="BL262" s="175">
        <x:f t="shared" si="88"/>
        <x:v>0</x:v>
      </x:c>
      <x:c r="BM262" s="177">
        <x:f t="shared" si="43"/>
        <x:v>0</x:v>
      </x:c>
      <x:c r="BN262" s="178">
        <x:f t="shared" si="89"/>
        <x:v>0</x:v>
      </x:c>
      <x:c r="BO262" s="179">
        <x:f t="shared" si="89"/>
        <x:v>0</x:v>
      </x:c>
    </x:row>
    <x:row r="263" s="162" customFormat="1" ht="19.899999618530273" hidden="1" customHeight="1">
      <x:c r="A263" s="170">
        <x:v>13</x:v>
      </x:c>
      <x:c r="B263" s="162" t="str">
        <x:f t="shared" ref="B263:C263" si="91">TEXT(B19,"00")</x:f>
      </x:c>
      <x:c r="C263" s="162" t="str">
        <x:f t="shared" si="91"/>
        <x:v>00</x:v>
      </x:c>
      <x:c r="D263" s="162" t="str">
        <x:f t="shared" si="5"/>
        <x:v>0000</x:v>
      </x:c>
      <x:c r="E263" s="162" t="str">
        <x:f t="shared" si="6"/>
        <x:v>000</x:v>
      </x:c>
      <x:c r="F263" s="171" t="str">
        <x:f t="shared" si="7"/>
        <x:v>0</x:v>
      </x:c>
      <x:c r="G263" s="172">
        <x:f t="shared" si="54"/>
        <x:v>0</x:v>
      </x:c>
      <x:c r="H263" s="173" t="str">
        <x:f t="shared" si="55"/>
        <x:v>0</x:v>
      </x:c>
      <x:c r="I263" s="173" t="str">
        <x:f t="shared" si="56"/>
        <x:v>0</x:v>
      </x:c>
      <x:c r="J263" s="173" t="str">
        <x:f t="shared" si="57"/>
        <x:v>0</x:v>
      </x:c>
      <x:c r="K263" s="173" t="str">
        <x:f t="shared" si="58"/>
        <x:v>0</x:v>
      </x:c>
      <x:c r="L263" s="173" t="str">
        <x:f t="shared" si="59"/>
        <x:v>0</x:v>
      </x:c>
      <x:c r="M263" s="173" t="str">
        <x:f t="shared" si="60"/>
        <x:v>0</x:v>
      </x:c>
      <x:c r="N263" s="173" t="str">
        <x:f t="shared" si="61"/>
        <x:v>0</x:v>
      </x:c>
      <x:c r="O263" s="173" t="str">
        <x:f t="shared" si="62"/>
        <x:v>0</x:v>
      </x:c>
      <x:c r="P263" s="173" t="str">
        <x:f t="shared" si="63"/>
        <x:v>0</x:v>
      </x:c>
      <x:c r="Q263" s="173" t="str">
        <x:f t="shared" si="64"/>
        <x:v>0</x:v>
      </x:c>
      <x:c r="R263" s="173" t="str">
        <x:f t="shared" si="65"/>
        <x:v>0</x:v>
      </x:c>
      <x:c r="S263" s="174">
        <x:v>2</x:v>
      </x:c>
      <x:c r="T263" s="174">
        <x:v>1</x:v>
      </x:c>
      <x:c r="U263" s="174">
        <x:v>2</x:v>
      </x:c>
      <x:c r="V263" s="174">
        <x:v>1</x:v>
      </x:c>
      <x:c r="W263" s="174">
        <x:v>2</x:v>
      </x:c>
      <x:c r="X263" s="174">
        <x:v>1</x:v>
      </x:c>
      <x:c r="Y263" s="174">
        <x:v>2</x:v>
      </x:c>
      <x:c r="Z263" s="174">
        <x:v>1</x:v>
      </x:c>
      <x:c r="AA263" s="174">
        <x:v>2</x:v>
      </x:c>
      <x:c r="AB263" s="174">
        <x:v>1</x:v>
      </x:c>
      <x:c r="AC263" s="174">
        <x:v>2</x:v>
      </x:c>
      <x:c r="AD263" s="175">
        <x:f t="shared" si="3"/>
        <x:v>0</x:v>
      </x:c>
      <x:c r="AE263" s="175">
        <x:f t="shared" si="3"/>
        <x:v>0</x:v>
      </x:c>
      <x:c r="AF263" s="175">
        <x:f t="shared" si="3"/>
        <x:v>0</x:v>
      </x:c>
      <x:c r="AG263" s="175">
        <x:f t="shared" si="3"/>
        <x:v>0</x:v>
      </x:c>
      <x:c r="AH263" s="175">
        <x:f t="shared" si="3"/>
        <x:v>0</x:v>
      </x:c>
      <x:c r="AI263" s="175">
        <x:f t="shared" si="3"/>
        <x:v>0</x:v>
      </x:c>
      <x:c r="AJ263" s="175">
        <x:f t="shared" si="3"/>
        <x:v>0</x:v>
      </x:c>
      <x:c r="AK263" s="175">
        <x:f t="shared" si="3"/>
        <x:v>0</x:v>
      </x:c>
      <x:c r="AL263" s="175">
        <x:f t="shared" si="3"/>
        <x:v>0</x:v>
      </x:c>
      <x:c r="AM263" s="175">
        <x:f t="shared" si="3"/>
        <x:v>0</x:v>
      </x:c>
      <x:c r="AN263" s="175">
        <x:f t="shared" si="3"/>
        <x:v>0</x:v>
      </x:c>
      <x:c r="AO263" s="176" t="str">
        <x:f t="shared" si="66"/>
        <x:v>0</x:v>
      </x:c>
      <x:c r="AP263" s="176" t="str">
        <x:f t="shared" si="67"/>
        <x:v>0</x:v>
      </x:c>
      <x:c r="AQ263" s="176" t="str">
        <x:f t="shared" si="68"/>
        <x:v>0</x:v>
      </x:c>
      <x:c r="AR263" s="176" t="str">
        <x:f t="shared" si="69"/>
        <x:v>0</x:v>
      </x:c>
      <x:c r="AS263" s="176" t="str">
        <x:f t="shared" si="70"/>
        <x:v>0</x:v>
      </x:c>
      <x:c r="AT263" s="176" t="str">
        <x:f t="shared" si="71"/>
        <x:v>0</x:v>
      </x:c>
      <x:c r="AU263" s="176" t="str">
        <x:f t="shared" si="72"/>
        <x:v>0</x:v>
      </x:c>
      <x:c r="AV263" s="176" t="str">
        <x:f t="shared" si="73"/>
        <x:v>0</x:v>
      </x:c>
      <x:c r="AW263" s="176" t="str">
        <x:f t="shared" si="74"/>
        <x:v>0</x:v>
      </x:c>
      <x:c r="AX263" s="176" t="str">
        <x:f t="shared" si="75"/>
        <x:v>0</x:v>
      </x:c>
      <x:c r="AY263" s="176" t="str">
        <x:f t="shared" si="76"/>
        <x:v>0</x:v>
      </x:c>
      <x:c r="AZ263" s="176" t="str">
        <x:f t="shared" si="77"/>
        <x:v>0</x:v>
      </x:c>
      <x:c r="BA263" s="176" t="str">
        <x:f t="shared" si="78"/>
        <x:v>0</x:v>
      </x:c>
      <x:c r="BB263" s="176" t="str">
        <x:f t="shared" si="79"/>
        <x:v>0</x:v>
      </x:c>
      <x:c r="BC263" s="176" t="str">
        <x:f t="shared" si="80"/>
        <x:v>0</x:v>
      </x:c>
      <x:c r="BD263" s="176" t="str">
        <x:f t="shared" si="81"/>
        <x:v>0</x:v>
      </x:c>
      <x:c r="BE263" s="176" t="str">
        <x:f t="shared" si="82"/>
        <x:v>0</x:v>
      </x:c>
      <x:c r="BF263" s="176" t="str">
        <x:f t="shared" si="83"/>
        <x:v>0</x:v>
      </x:c>
      <x:c r="BG263" s="176" t="str">
        <x:f t="shared" si="84"/>
        <x:v>0</x:v>
      </x:c>
      <x:c r="BH263" s="176" t="str">
        <x:f t="shared" si="85"/>
        <x:v>0</x:v>
      </x:c>
      <x:c r="BI263" s="176" t="str">
        <x:f t="shared" si="86"/>
        <x:v>0</x:v>
      </x:c>
      <x:c r="BJ263" s="176" t="str">
        <x:f t="shared" si="87"/>
        <x:v>0</x:v>
      </x:c>
      <x:c r="BK263" s="176"/>
      <x:c r="BL263" s="175">
        <x:f t="shared" si="88"/>
        <x:v>0</x:v>
      </x:c>
      <x:c r="BM263" s="177">
        <x:f t="shared" si="43"/>
        <x:v>0</x:v>
      </x:c>
      <x:c r="BN263" s="178">
        <x:f t="shared" si="89"/>
        <x:v>0</x:v>
      </x:c>
      <x:c r="BO263" s="179">
        <x:f t="shared" si="89"/>
        <x:v>0</x:v>
      </x:c>
    </x:row>
    <x:row r="264" s="162" customFormat="1" ht="19.899999618530273" hidden="1" customHeight="1">
      <x:c r="A264" s="170">
        <x:v>14</x:v>
      </x:c>
      <x:c r="B264" s="162" t="str">
        <x:f t="shared" ref="B264:C264" si="92">TEXT(B20,"00")</x:f>
      </x:c>
      <x:c r="C264" s="162" t="str">
        <x:f t="shared" si="92"/>
        <x:v>00</x:v>
      </x:c>
      <x:c r="D264" s="162" t="str">
        <x:f t="shared" si="5"/>
        <x:v>0000</x:v>
      </x:c>
      <x:c r="E264" s="162" t="str">
        <x:f t="shared" si="6"/>
        <x:v>000</x:v>
      </x:c>
      <x:c r="F264" s="171" t="str">
        <x:f t="shared" si="7"/>
        <x:v>0</x:v>
      </x:c>
      <x:c r="G264" s="172">
        <x:f t="shared" si="54"/>
        <x:v>0</x:v>
      </x:c>
      <x:c r="H264" s="173" t="str">
        <x:f t="shared" si="55"/>
        <x:v>0</x:v>
      </x:c>
      <x:c r="I264" s="173" t="str">
        <x:f t="shared" si="56"/>
        <x:v>0</x:v>
      </x:c>
      <x:c r="J264" s="173" t="str">
        <x:f t="shared" si="57"/>
        <x:v>0</x:v>
      </x:c>
      <x:c r="K264" s="173" t="str">
        <x:f t="shared" si="58"/>
        <x:v>0</x:v>
      </x:c>
      <x:c r="L264" s="173" t="str">
        <x:f t="shared" si="59"/>
        <x:v>0</x:v>
      </x:c>
      <x:c r="M264" s="173" t="str">
        <x:f t="shared" si="60"/>
        <x:v>0</x:v>
      </x:c>
      <x:c r="N264" s="173" t="str">
        <x:f t="shared" si="61"/>
        <x:v>0</x:v>
      </x:c>
      <x:c r="O264" s="173" t="str">
        <x:f t="shared" si="62"/>
        <x:v>0</x:v>
      </x:c>
      <x:c r="P264" s="173" t="str">
        <x:f t="shared" si="63"/>
        <x:v>0</x:v>
      </x:c>
      <x:c r="Q264" s="173" t="str">
        <x:f t="shared" si="64"/>
        <x:v>0</x:v>
      </x:c>
      <x:c r="R264" s="173" t="str">
        <x:f t="shared" si="65"/>
        <x:v>0</x:v>
      </x:c>
      <x:c r="S264" s="174">
        <x:v>2</x:v>
      </x:c>
      <x:c r="T264" s="174">
        <x:v>1</x:v>
      </x:c>
      <x:c r="U264" s="174">
        <x:v>2</x:v>
      </x:c>
      <x:c r="V264" s="174">
        <x:v>1</x:v>
      </x:c>
      <x:c r="W264" s="174">
        <x:v>2</x:v>
      </x:c>
      <x:c r="X264" s="174">
        <x:v>1</x:v>
      </x:c>
      <x:c r="Y264" s="174">
        <x:v>2</x:v>
      </x:c>
      <x:c r="Z264" s="174">
        <x:v>1</x:v>
      </x:c>
      <x:c r="AA264" s="174">
        <x:v>2</x:v>
      </x:c>
      <x:c r="AB264" s="174">
        <x:v>1</x:v>
      </x:c>
      <x:c r="AC264" s="174">
        <x:v>2</x:v>
      </x:c>
      <x:c r="AD264" s="175">
        <x:f t="shared" si="3"/>
        <x:v>0</x:v>
      </x:c>
      <x:c r="AE264" s="175">
        <x:f t="shared" si="3"/>
        <x:v>0</x:v>
      </x:c>
      <x:c r="AF264" s="175">
        <x:f t="shared" si="3"/>
        <x:v>0</x:v>
      </x:c>
      <x:c r="AG264" s="175">
        <x:f t="shared" si="3"/>
        <x:v>0</x:v>
      </x:c>
      <x:c r="AH264" s="175">
        <x:f t="shared" si="3"/>
        <x:v>0</x:v>
      </x:c>
      <x:c r="AI264" s="175">
        <x:f t="shared" si="3"/>
        <x:v>0</x:v>
      </x:c>
      <x:c r="AJ264" s="175">
        <x:f t="shared" si="3"/>
        <x:v>0</x:v>
      </x:c>
      <x:c r="AK264" s="175">
        <x:f t="shared" si="3"/>
        <x:v>0</x:v>
      </x:c>
      <x:c r="AL264" s="175">
        <x:f t="shared" si="3"/>
        <x:v>0</x:v>
      </x:c>
      <x:c r="AM264" s="175">
        <x:f t="shared" si="3"/>
        <x:v>0</x:v>
      </x:c>
      <x:c r="AN264" s="175">
        <x:f t="shared" si="3"/>
        <x:v>0</x:v>
      </x:c>
      <x:c r="AO264" s="176" t="str">
        <x:f t="shared" si="66"/>
        <x:v>0</x:v>
      </x:c>
      <x:c r="AP264" s="176" t="str">
        <x:f t="shared" si="67"/>
        <x:v>0</x:v>
      </x:c>
      <x:c r="AQ264" s="176" t="str">
        <x:f t="shared" si="68"/>
        <x:v>0</x:v>
      </x:c>
      <x:c r="AR264" s="176" t="str">
        <x:f t="shared" si="69"/>
        <x:v>0</x:v>
      </x:c>
      <x:c r="AS264" s="176" t="str">
        <x:f t="shared" si="70"/>
        <x:v>0</x:v>
      </x:c>
      <x:c r="AT264" s="176" t="str">
        <x:f t="shared" si="71"/>
        <x:v>0</x:v>
      </x:c>
      <x:c r="AU264" s="176" t="str">
        <x:f t="shared" si="72"/>
        <x:v>0</x:v>
      </x:c>
      <x:c r="AV264" s="176" t="str">
        <x:f t="shared" si="73"/>
        <x:v>0</x:v>
      </x:c>
      <x:c r="AW264" s="176" t="str">
        <x:f t="shared" si="74"/>
        <x:v>0</x:v>
      </x:c>
      <x:c r="AX264" s="176" t="str">
        <x:f t="shared" si="75"/>
        <x:v>0</x:v>
      </x:c>
      <x:c r="AY264" s="176" t="str">
        <x:f t="shared" si="76"/>
        <x:v>0</x:v>
      </x:c>
      <x:c r="AZ264" s="176" t="str">
        <x:f t="shared" si="77"/>
        <x:v>0</x:v>
      </x:c>
      <x:c r="BA264" s="176" t="str">
        <x:f t="shared" si="78"/>
        <x:v>0</x:v>
      </x:c>
      <x:c r="BB264" s="176" t="str">
        <x:f t="shared" si="79"/>
        <x:v>0</x:v>
      </x:c>
      <x:c r="BC264" s="176" t="str">
        <x:f t="shared" si="80"/>
        <x:v>0</x:v>
      </x:c>
      <x:c r="BD264" s="176" t="str">
        <x:f t="shared" si="81"/>
        <x:v>0</x:v>
      </x:c>
      <x:c r="BE264" s="176" t="str">
        <x:f t="shared" si="82"/>
        <x:v>0</x:v>
      </x:c>
      <x:c r="BF264" s="176" t="str">
        <x:f t="shared" si="83"/>
        <x:v>0</x:v>
      </x:c>
      <x:c r="BG264" s="176" t="str">
        <x:f t="shared" si="84"/>
        <x:v>0</x:v>
      </x:c>
      <x:c r="BH264" s="176" t="str">
        <x:f t="shared" si="85"/>
        <x:v>0</x:v>
      </x:c>
      <x:c r="BI264" s="176" t="str">
        <x:f t="shared" si="86"/>
        <x:v>0</x:v>
      </x:c>
      <x:c r="BJ264" s="176" t="str">
        <x:f t="shared" si="87"/>
        <x:v>0</x:v>
      </x:c>
      <x:c r="BK264" s="176"/>
      <x:c r="BL264" s="175">
        <x:f t="shared" si="88"/>
        <x:v>0</x:v>
      </x:c>
      <x:c r="BM264" s="177">
        <x:f t="shared" si="43"/>
        <x:v>0</x:v>
      </x:c>
      <x:c r="BN264" s="178">
        <x:f t="shared" si="89"/>
        <x:v>0</x:v>
      </x:c>
      <x:c r="BO264" s="179">
        <x:f t="shared" si="89"/>
        <x:v>0</x:v>
      </x:c>
    </x:row>
    <x:row r="265" s="162" customFormat="1" ht="19.899999618530273" hidden="1" customHeight="1">
      <x:c r="A265" s="170">
        <x:v>15</x:v>
      </x:c>
      <x:c r="B265" s="162" t="str">
        <x:f t="shared" ref="B265:C265" si="93">TEXT(B21,"00")</x:f>
      </x:c>
      <x:c r="C265" s="162" t="str">
        <x:f t="shared" si="93"/>
        <x:v>00</x:v>
      </x:c>
      <x:c r="D265" s="162" t="str">
        <x:f t="shared" si="5"/>
        <x:v>0000</x:v>
      </x:c>
      <x:c r="E265" s="162" t="str">
        <x:f t="shared" si="6"/>
        <x:v>000</x:v>
      </x:c>
      <x:c r="F265" s="171" t="str">
        <x:f t="shared" si="7"/>
        <x:v>0</x:v>
      </x:c>
      <x:c r="G265" s="172">
        <x:f t="shared" si="54"/>
        <x:v>0</x:v>
      </x:c>
      <x:c r="H265" s="173" t="str">
        <x:f t="shared" si="55"/>
        <x:v>0</x:v>
      </x:c>
      <x:c r="I265" s="173" t="str">
        <x:f t="shared" si="56"/>
        <x:v>0</x:v>
      </x:c>
      <x:c r="J265" s="173" t="str">
        <x:f t="shared" si="57"/>
        <x:v>0</x:v>
      </x:c>
      <x:c r="K265" s="173" t="str">
        <x:f t="shared" si="58"/>
        <x:v>0</x:v>
      </x:c>
      <x:c r="L265" s="173" t="str">
        <x:f t="shared" si="59"/>
        <x:v>0</x:v>
      </x:c>
      <x:c r="M265" s="173" t="str">
        <x:f t="shared" si="60"/>
        <x:v>0</x:v>
      </x:c>
      <x:c r="N265" s="173" t="str">
        <x:f t="shared" si="61"/>
        <x:v>0</x:v>
      </x:c>
      <x:c r="O265" s="173" t="str">
        <x:f t="shared" si="62"/>
        <x:v>0</x:v>
      </x:c>
      <x:c r="P265" s="173" t="str">
        <x:f t="shared" si="63"/>
        <x:v>0</x:v>
      </x:c>
      <x:c r="Q265" s="173" t="str">
        <x:f t="shared" si="64"/>
        <x:v>0</x:v>
      </x:c>
      <x:c r="R265" s="173" t="str">
        <x:f t="shared" si="65"/>
        <x:v>0</x:v>
      </x:c>
      <x:c r="S265" s="174">
        <x:v>2</x:v>
      </x:c>
      <x:c r="T265" s="174">
        <x:v>1</x:v>
      </x:c>
      <x:c r="U265" s="174">
        <x:v>2</x:v>
      </x:c>
      <x:c r="V265" s="174">
        <x:v>1</x:v>
      </x:c>
      <x:c r="W265" s="174">
        <x:v>2</x:v>
      </x:c>
      <x:c r="X265" s="174">
        <x:v>1</x:v>
      </x:c>
      <x:c r="Y265" s="174">
        <x:v>2</x:v>
      </x:c>
      <x:c r="Z265" s="174">
        <x:v>1</x:v>
      </x:c>
      <x:c r="AA265" s="174">
        <x:v>2</x:v>
      </x:c>
      <x:c r="AB265" s="174">
        <x:v>1</x:v>
      </x:c>
      <x:c r="AC265" s="174">
        <x:v>2</x:v>
      </x:c>
      <x:c r="AD265" s="175">
        <x:f t="shared" si="3"/>
        <x:v>0</x:v>
      </x:c>
      <x:c r="AE265" s="175">
        <x:f t="shared" si="3"/>
        <x:v>0</x:v>
      </x:c>
      <x:c r="AF265" s="175">
        <x:f t="shared" si="3"/>
        <x:v>0</x:v>
      </x:c>
      <x:c r="AG265" s="175">
        <x:f t="shared" si="3"/>
        <x:v>0</x:v>
      </x:c>
      <x:c r="AH265" s="175">
        <x:f t="shared" si="3"/>
        <x:v>0</x:v>
      </x:c>
      <x:c r="AI265" s="175">
        <x:f t="shared" si="3"/>
        <x:v>0</x:v>
      </x:c>
      <x:c r="AJ265" s="175">
        <x:f t="shared" si="3"/>
        <x:v>0</x:v>
      </x:c>
      <x:c r="AK265" s="175">
        <x:f t="shared" si="3"/>
        <x:v>0</x:v>
      </x:c>
      <x:c r="AL265" s="175">
        <x:f t="shared" si="3"/>
        <x:v>0</x:v>
      </x:c>
      <x:c r="AM265" s="175">
        <x:f t="shared" si="3"/>
        <x:v>0</x:v>
      </x:c>
      <x:c r="AN265" s="175">
        <x:f t="shared" si="3"/>
        <x:v>0</x:v>
      </x:c>
      <x:c r="AO265" s="176" t="str">
        <x:f t="shared" si="66"/>
        <x:v>0</x:v>
      </x:c>
      <x:c r="AP265" s="176" t="str">
        <x:f t="shared" si="67"/>
        <x:v>0</x:v>
      </x:c>
      <x:c r="AQ265" s="176" t="str">
        <x:f t="shared" si="68"/>
        <x:v>0</x:v>
      </x:c>
      <x:c r="AR265" s="176" t="str">
        <x:f t="shared" si="69"/>
        <x:v>0</x:v>
      </x:c>
      <x:c r="AS265" s="176" t="str">
        <x:f t="shared" si="70"/>
        <x:v>0</x:v>
      </x:c>
      <x:c r="AT265" s="176" t="str">
        <x:f t="shared" si="71"/>
        <x:v>0</x:v>
      </x:c>
      <x:c r="AU265" s="176" t="str">
        <x:f t="shared" si="72"/>
        <x:v>0</x:v>
      </x:c>
      <x:c r="AV265" s="176" t="str">
        <x:f t="shared" si="73"/>
        <x:v>0</x:v>
      </x:c>
      <x:c r="AW265" s="176" t="str">
        <x:f t="shared" si="74"/>
        <x:v>0</x:v>
      </x:c>
      <x:c r="AX265" s="176" t="str">
        <x:f t="shared" si="75"/>
        <x:v>0</x:v>
      </x:c>
      <x:c r="AY265" s="176" t="str">
        <x:f t="shared" si="76"/>
        <x:v>0</x:v>
      </x:c>
      <x:c r="AZ265" s="176" t="str">
        <x:f t="shared" si="77"/>
        <x:v>0</x:v>
      </x:c>
      <x:c r="BA265" s="176" t="str">
        <x:f t="shared" si="78"/>
        <x:v>0</x:v>
      </x:c>
      <x:c r="BB265" s="176" t="str">
        <x:f t="shared" si="79"/>
        <x:v>0</x:v>
      </x:c>
      <x:c r="BC265" s="176" t="str">
        <x:f t="shared" si="80"/>
        <x:v>0</x:v>
      </x:c>
      <x:c r="BD265" s="176" t="str">
        <x:f t="shared" si="81"/>
        <x:v>0</x:v>
      </x:c>
      <x:c r="BE265" s="176" t="str">
        <x:f t="shared" si="82"/>
        <x:v>0</x:v>
      </x:c>
      <x:c r="BF265" s="176" t="str">
        <x:f t="shared" si="83"/>
        <x:v>0</x:v>
      </x:c>
      <x:c r="BG265" s="176" t="str">
        <x:f t="shared" si="84"/>
        <x:v>0</x:v>
      </x:c>
      <x:c r="BH265" s="176" t="str">
        <x:f t="shared" si="85"/>
        <x:v>0</x:v>
      </x:c>
      <x:c r="BI265" s="176" t="str">
        <x:f t="shared" si="86"/>
        <x:v>0</x:v>
      </x:c>
      <x:c r="BJ265" s="176" t="str">
        <x:f t="shared" si="87"/>
        <x:v>0</x:v>
      </x:c>
      <x:c r="BK265" s="176"/>
      <x:c r="BL265" s="175">
        <x:f t="shared" si="88"/>
        <x:v>0</x:v>
      </x:c>
      <x:c r="BM265" s="177">
        <x:f t="shared" si="43"/>
        <x:v>0</x:v>
      </x:c>
      <x:c r="BN265" s="178">
        <x:f t="shared" si="89"/>
        <x:v>0</x:v>
      </x:c>
      <x:c r="BO265" s="179">
        <x:f t="shared" si="89"/>
        <x:v>0</x:v>
      </x:c>
    </x:row>
    <x:row r="266" s="162" customFormat="1" ht="19.899999618530273" hidden="1" customHeight="1">
      <x:c r="A266" s="170">
        <x:v>16</x:v>
      </x:c>
      <x:c r="B266" s="162" t="str">
        <x:f t="shared" ref="B266:C266" si="94">TEXT(B22,"00")</x:f>
      </x:c>
      <x:c r="C266" s="162" t="str">
        <x:f t="shared" si="94"/>
        <x:v>00</x:v>
      </x:c>
      <x:c r="D266" s="162" t="str">
        <x:f t="shared" si="5"/>
        <x:v>0000</x:v>
      </x:c>
      <x:c r="E266" s="162" t="str">
        <x:f t="shared" si="6"/>
        <x:v>000</x:v>
      </x:c>
      <x:c r="F266" s="171" t="str">
        <x:f t="shared" si="7"/>
        <x:v>0</x:v>
      </x:c>
      <x:c r="G266" s="172">
        <x:f t="shared" si="54"/>
        <x:v>0</x:v>
      </x:c>
      <x:c r="H266" s="173" t="str">
        <x:f t="shared" si="55"/>
        <x:v>0</x:v>
      </x:c>
      <x:c r="I266" s="173" t="str">
        <x:f t="shared" si="56"/>
        <x:v>0</x:v>
      </x:c>
      <x:c r="J266" s="173" t="str">
        <x:f t="shared" si="57"/>
        <x:v>0</x:v>
      </x:c>
      <x:c r="K266" s="173" t="str">
        <x:f t="shared" si="58"/>
        <x:v>0</x:v>
      </x:c>
      <x:c r="L266" s="173" t="str">
        <x:f t="shared" si="59"/>
        <x:v>0</x:v>
      </x:c>
      <x:c r="M266" s="173" t="str">
        <x:f t="shared" si="60"/>
        <x:v>0</x:v>
      </x:c>
      <x:c r="N266" s="173" t="str">
        <x:f t="shared" si="61"/>
        <x:v>0</x:v>
      </x:c>
      <x:c r="O266" s="173" t="str">
        <x:f t="shared" si="62"/>
        <x:v>0</x:v>
      </x:c>
      <x:c r="P266" s="173" t="str">
        <x:f t="shared" si="63"/>
        <x:v>0</x:v>
      </x:c>
      <x:c r="Q266" s="173" t="str">
        <x:f t="shared" si="64"/>
        <x:v>0</x:v>
      </x:c>
      <x:c r="R266" s="173" t="str">
        <x:f t="shared" si="65"/>
        <x:v>0</x:v>
      </x:c>
      <x:c r="S266" s="174">
        <x:v>2</x:v>
      </x:c>
      <x:c r="T266" s="174">
        <x:v>1</x:v>
      </x:c>
      <x:c r="U266" s="174">
        <x:v>2</x:v>
      </x:c>
      <x:c r="V266" s="174">
        <x:v>1</x:v>
      </x:c>
      <x:c r="W266" s="174">
        <x:v>2</x:v>
      </x:c>
      <x:c r="X266" s="174">
        <x:v>1</x:v>
      </x:c>
      <x:c r="Y266" s="174">
        <x:v>2</x:v>
      </x:c>
      <x:c r="Z266" s="174">
        <x:v>1</x:v>
      </x:c>
      <x:c r="AA266" s="174">
        <x:v>2</x:v>
      </x:c>
      <x:c r="AB266" s="174">
        <x:v>1</x:v>
      </x:c>
      <x:c r="AC266" s="174">
        <x:v>2</x:v>
      </x:c>
      <x:c r="AD266" s="175">
        <x:f t="shared" si="3"/>
        <x:v>0</x:v>
      </x:c>
      <x:c r="AE266" s="175">
        <x:f t="shared" si="3"/>
        <x:v>0</x:v>
      </x:c>
      <x:c r="AF266" s="175">
        <x:f t="shared" si="3"/>
        <x:v>0</x:v>
      </x:c>
      <x:c r="AG266" s="175">
        <x:f t="shared" si="3"/>
        <x:v>0</x:v>
      </x:c>
      <x:c r="AH266" s="175">
        <x:f t="shared" si="3"/>
        <x:v>0</x:v>
      </x:c>
      <x:c r="AI266" s="175">
        <x:f t="shared" si="3"/>
        <x:v>0</x:v>
      </x:c>
      <x:c r="AJ266" s="175">
        <x:f t="shared" si="3"/>
        <x:v>0</x:v>
      </x:c>
      <x:c r="AK266" s="175">
        <x:f t="shared" si="3"/>
        <x:v>0</x:v>
      </x:c>
      <x:c r="AL266" s="175">
        <x:f t="shared" si="3"/>
        <x:v>0</x:v>
      </x:c>
      <x:c r="AM266" s="175">
        <x:f t="shared" si="3"/>
        <x:v>0</x:v>
      </x:c>
      <x:c r="AN266" s="175">
        <x:f t="shared" si="3"/>
        <x:v>0</x:v>
      </x:c>
      <x:c r="AO266" s="176" t="str">
        <x:f t="shared" si="66"/>
        <x:v>0</x:v>
      </x:c>
      <x:c r="AP266" s="176" t="str">
        <x:f t="shared" si="67"/>
        <x:v>0</x:v>
      </x:c>
      <x:c r="AQ266" s="176" t="str">
        <x:f t="shared" si="68"/>
        <x:v>0</x:v>
      </x:c>
      <x:c r="AR266" s="176" t="str">
        <x:f t="shared" si="69"/>
        <x:v>0</x:v>
      </x:c>
      <x:c r="AS266" s="176" t="str">
        <x:f t="shared" si="70"/>
        <x:v>0</x:v>
      </x:c>
      <x:c r="AT266" s="176" t="str">
        <x:f t="shared" si="71"/>
        <x:v>0</x:v>
      </x:c>
      <x:c r="AU266" s="176" t="str">
        <x:f t="shared" si="72"/>
        <x:v>0</x:v>
      </x:c>
      <x:c r="AV266" s="176" t="str">
        <x:f t="shared" si="73"/>
        <x:v>0</x:v>
      </x:c>
      <x:c r="AW266" s="176" t="str">
        <x:f t="shared" si="74"/>
        <x:v>0</x:v>
      </x:c>
      <x:c r="AX266" s="176" t="str">
        <x:f t="shared" si="75"/>
        <x:v>0</x:v>
      </x:c>
      <x:c r="AY266" s="176" t="str">
        <x:f t="shared" si="76"/>
        <x:v>0</x:v>
      </x:c>
      <x:c r="AZ266" s="176" t="str">
        <x:f t="shared" si="77"/>
        <x:v>0</x:v>
      </x:c>
      <x:c r="BA266" s="176" t="str">
        <x:f t="shared" si="78"/>
        <x:v>0</x:v>
      </x:c>
      <x:c r="BB266" s="176" t="str">
        <x:f t="shared" si="79"/>
        <x:v>0</x:v>
      </x:c>
      <x:c r="BC266" s="176" t="str">
        <x:f t="shared" si="80"/>
        <x:v>0</x:v>
      </x:c>
      <x:c r="BD266" s="176" t="str">
        <x:f t="shared" si="81"/>
        <x:v>0</x:v>
      </x:c>
      <x:c r="BE266" s="176" t="str">
        <x:f t="shared" si="82"/>
        <x:v>0</x:v>
      </x:c>
      <x:c r="BF266" s="176" t="str">
        <x:f t="shared" si="83"/>
        <x:v>0</x:v>
      </x:c>
      <x:c r="BG266" s="176" t="str">
        <x:f t="shared" si="84"/>
        <x:v>0</x:v>
      </x:c>
      <x:c r="BH266" s="176" t="str">
        <x:f t="shared" si="85"/>
        <x:v>0</x:v>
      </x:c>
      <x:c r="BI266" s="176" t="str">
        <x:f t="shared" si="86"/>
        <x:v>0</x:v>
      </x:c>
      <x:c r="BJ266" s="176" t="str">
        <x:f t="shared" si="87"/>
        <x:v>0</x:v>
      </x:c>
      <x:c r="BK266" s="176"/>
      <x:c r="BL266" s="175">
        <x:f t="shared" si="88"/>
        <x:v>0</x:v>
      </x:c>
      <x:c r="BM266" s="177">
        <x:f t="shared" si="43"/>
        <x:v>0</x:v>
      </x:c>
      <x:c r="BN266" s="178">
        <x:f t="shared" si="89"/>
        <x:v>0</x:v>
      </x:c>
      <x:c r="BO266" s="179">
        <x:f t="shared" si="89"/>
        <x:v>0</x:v>
      </x:c>
    </x:row>
    <x:row r="267" s="162" customFormat="1" ht="19.899999618530273" hidden="1" customHeight="1">
      <x:c r="A267" s="170">
        <x:v>17</x:v>
      </x:c>
      <x:c r="B267" s="162" t="str">
        <x:f t="shared" ref="B267:C267" si="95">TEXT(B23,"00")</x:f>
      </x:c>
      <x:c r="C267" s="162" t="str">
        <x:f t="shared" si="95"/>
        <x:v>00</x:v>
      </x:c>
      <x:c r="D267" s="162" t="str">
        <x:f t="shared" si="5"/>
        <x:v>0000</x:v>
      </x:c>
      <x:c r="E267" s="162" t="str">
        <x:f t="shared" si="6"/>
        <x:v>000</x:v>
      </x:c>
      <x:c r="F267" s="171" t="str">
        <x:f t="shared" si="7"/>
        <x:v>0</x:v>
      </x:c>
      <x:c r="G267" s="172">
        <x:f t="shared" si="54"/>
        <x:v>0</x:v>
      </x:c>
      <x:c r="H267" s="173" t="str">
        <x:f t="shared" si="55"/>
        <x:v>0</x:v>
      </x:c>
      <x:c r="I267" s="173" t="str">
        <x:f t="shared" si="56"/>
        <x:v>0</x:v>
      </x:c>
      <x:c r="J267" s="173" t="str">
        <x:f t="shared" si="57"/>
        <x:v>0</x:v>
      </x:c>
      <x:c r="K267" s="173" t="str">
        <x:f t="shared" si="58"/>
        <x:v>0</x:v>
      </x:c>
      <x:c r="L267" s="173" t="str">
        <x:f t="shared" si="59"/>
        <x:v>0</x:v>
      </x:c>
      <x:c r="M267" s="173" t="str">
        <x:f t="shared" si="60"/>
        <x:v>0</x:v>
      </x:c>
      <x:c r="N267" s="173" t="str">
        <x:f t="shared" si="61"/>
        <x:v>0</x:v>
      </x:c>
      <x:c r="O267" s="173" t="str">
        <x:f t="shared" si="62"/>
        <x:v>0</x:v>
      </x:c>
      <x:c r="P267" s="173" t="str">
        <x:f t="shared" si="63"/>
        <x:v>0</x:v>
      </x:c>
      <x:c r="Q267" s="173" t="str">
        <x:f t="shared" si="64"/>
        <x:v>0</x:v>
      </x:c>
      <x:c r="R267" s="173" t="str">
        <x:f t="shared" si="65"/>
        <x:v>0</x:v>
      </x:c>
      <x:c r="S267" s="174">
        <x:v>2</x:v>
      </x:c>
      <x:c r="T267" s="174">
        <x:v>1</x:v>
      </x:c>
      <x:c r="U267" s="174">
        <x:v>2</x:v>
      </x:c>
      <x:c r="V267" s="174">
        <x:v>1</x:v>
      </x:c>
      <x:c r="W267" s="174">
        <x:v>2</x:v>
      </x:c>
      <x:c r="X267" s="174">
        <x:v>1</x:v>
      </x:c>
      <x:c r="Y267" s="174">
        <x:v>2</x:v>
      </x:c>
      <x:c r="Z267" s="174">
        <x:v>1</x:v>
      </x:c>
      <x:c r="AA267" s="174">
        <x:v>2</x:v>
      </x:c>
      <x:c r="AB267" s="174">
        <x:v>1</x:v>
      </x:c>
      <x:c r="AC267" s="174">
        <x:v>2</x:v>
      </x:c>
      <x:c r="AD267" s="175" t="n">
        <x:f t="shared" ref="AD267:AN283" si="96">H267*S267</x:f>
        <x:v>0</x:v>
      </x:c>
      <x:c r="AE267" s="175">
        <x:f t="shared" si="96"/>
        <x:v>0</x:v>
      </x:c>
      <x:c r="AF267" s="175">
        <x:f t="shared" si="96"/>
        <x:v>0</x:v>
      </x:c>
      <x:c r="AG267" s="175">
        <x:f t="shared" si="96"/>
        <x:v>0</x:v>
      </x:c>
      <x:c r="AH267" s="175">
        <x:f t="shared" si="96"/>
        <x:v>0</x:v>
      </x:c>
      <x:c r="AI267" s="175">
        <x:f t="shared" si="96"/>
        <x:v>0</x:v>
      </x:c>
      <x:c r="AJ267" s="175">
        <x:f t="shared" si="96"/>
        <x:v>0</x:v>
      </x:c>
      <x:c r="AK267" s="175">
        <x:f t="shared" si="96"/>
        <x:v>0</x:v>
      </x:c>
      <x:c r="AL267" s="175">
        <x:f t="shared" si="96"/>
        <x:v>0</x:v>
      </x:c>
      <x:c r="AM267" s="175">
        <x:f t="shared" si="96"/>
        <x:v>0</x:v>
      </x:c>
      <x:c r="AN267" s="175">
        <x:f t="shared" si="96"/>
        <x:v>0</x:v>
      </x:c>
      <x:c r="AO267" s="176" t="str">
        <x:f t="shared" si="66"/>
        <x:v>0</x:v>
      </x:c>
      <x:c r="AP267" s="176" t="str">
        <x:f t="shared" si="67"/>
        <x:v>0</x:v>
      </x:c>
      <x:c r="AQ267" s="176" t="str">
        <x:f t="shared" si="68"/>
        <x:v>0</x:v>
      </x:c>
      <x:c r="AR267" s="176" t="str">
        <x:f t="shared" si="69"/>
        <x:v>0</x:v>
      </x:c>
      <x:c r="AS267" s="176" t="str">
        <x:f t="shared" si="70"/>
        <x:v>0</x:v>
      </x:c>
      <x:c r="AT267" s="176" t="str">
        <x:f t="shared" si="71"/>
        <x:v>0</x:v>
      </x:c>
      <x:c r="AU267" s="176" t="str">
        <x:f t="shared" si="72"/>
        <x:v>0</x:v>
      </x:c>
      <x:c r="AV267" s="176" t="str">
        <x:f t="shared" si="73"/>
        <x:v>0</x:v>
      </x:c>
      <x:c r="AW267" s="176" t="str">
        <x:f t="shared" si="74"/>
        <x:v>0</x:v>
      </x:c>
      <x:c r="AX267" s="176" t="str">
        <x:f t="shared" si="75"/>
        <x:v>0</x:v>
      </x:c>
      <x:c r="AY267" s="176" t="str">
        <x:f t="shared" si="76"/>
        <x:v>0</x:v>
      </x:c>
      <x:c r="AZ267" s="176" t="str">
        <x:f t="shared" si="77"/>
        <x:v>0</x:v>
      </x:c>
      <x:c r="BA267" s="176" t="str">
        <x:f t="shared" si="78"/>
        <x:v>0</x:v>
      </x:c>
      <x:c r="BB267" s="176" t="str">
        <x:f t="shared" si="79"/>
        <x:v>0</x:v>
      </x:c>
      <x:c r="BC267" s="176" t="str">
        <x:f t="shared" si="80"/>
        <x:v>0</x:v>
      </x:c>
      <x:c r="BD267" s="176" t="str">
        <x:f t="shared" si="81"/>
        <x:v>0</x:v>
      </x:c>
      <x:c r="BE267" s="176" t="str">
        <x:f t="shared" si="82"/>
        <x:v>0</x:v>
      </x:c>
      <x:c r="BF267" s="176" t="str">
        <x:f t="shared" si="83"/>
        <x:v>0</x:v>
      </x:c>
      <x:c r="BG267" s="176" t="str">
        <x:f t="shared" si="84"/>
        <x:v>0</x:v>
      </x:c>
      <x:c r="BH267" s="176" t="str">
        <x:f t="shared" si="85"/>
        <x:v>0</x:v>
      </x:c>
      <x:c r="BI267" s="176" t="str">
        <x:f t="shared" si="86"/>
        <x:v>0</x:v>
      </x:c>
      <x:c r="BJ267" s="176" t="str">
        <x:f t="shared" si="87"/>
        <x:v>0</x:v>
      </x:c>
      <x:c r="BK267" s="176"/>
      <x:c r="BL267" s="175">
        <x:f t="shared" si="88"/>
        <x:v>0</x:v>
      </x:c>
      <x:c r="BM267" s="177">
        <x:f t="shared" si="43"/>
        <x:v>0</x:v>
      </x:c>
      <x:c r="BN267" s="178">
        <x:f t="shared" si="89"/>
        <x:v>0</x:v>
      </x:c>
      <x:c r="BO267" s="179">
        <x:f t="shared" si="89"/>
        <x:v>0</x:v>
      </x:c>
    </x:row>
    <x:row r="268" s="162" customFormat="1" ht="19.899999618530273" hidden="1" customHeight="1">
      <x:c r="A268" s="170">
        <x:v>18</x:v>
      </x:c>
      <x:c r="B268" s="162" t="str">
        <x:f t="shared" ref="B268:C268" si="97">TEXT(B24,"00")</x:f>
      </x:c>
      <x:c r="C268" s="162" t="str">
        <x:f t="shared" si="97"/>
        <x:v>00</x:v>
      </x:c>
      <x:c r="D268" s="162" t="str">
        <x:f t="shared" si="5"/>
        <x:v>0000</x:v>
      </x:c>
      <x:c r="E268" s="162" t="str">
        <x:f t="shared" si="6"/>
        <x:v>000</x:v>
      </x:c>
      <x:c r="F268" s="171" t="str">
        <x:f t="shared" si="7"/>
        <x:v>0</x:v>
      </x:c>
      <x:c r="G268" s="172">
        <x:f t="shared" si="54"/>
        <x:v>0</x:v>
      </x:c>
      <x:c r="H268" s="173" t="str">
        <x:f t="shared" si="55"/>
        <x:v>0</x:v>
      </x:c>
      <x:c r="I268" s="173" t="str">
        <x:f t="shared" si="56"/>
        <x:v>0</x:v>
      </x:c>
      <x:c r="J268" s="173" t="str">
        <x:f t="shared" si="57"/>
        <x:v>0</x:v>
      </x:c>
      <x:c r="K268" s="173" t="str">
        <x:f t="shared" si="58"/>
        <x:v>0</x:v>
      </x:c>
      <x:c r="L268" s="173" t="str">
        <x:f t="shared" si="59"/>
        <x:v>0</x:v>
      </x:c>
      <x:c r="M268" s="173" t="str">
        <x:f t="shared" si="60"/>
        <x:v>0</x:v>
      </x:c>
      <x:c r="N268" s="173" t="str">
        <x:f t="shared" si="61"/>
        <x:v>0</x:v>
      </x:c>
      <x:c r="O268" s="173" t="str">
        <x:f t="shared" si="62"/>
        <x:v>0</x:v>
      </x:c>
      <x:c r="P268" s="173" t="str">
        <x:f t="shared" si="63"/>
        <x:v>0</x:v>
      </x:c>
      <x:c r="Q268" s="173" t="str">
        <x:f t="shared" si="64"/>
        <x:v>0</x:v>
      </x:c>
      <x:c r="R268" s="173" t="str">
        <x:f t="shared" si="65"/>
        <x:v>0</x:v>
      </x:c>
      <x:c r="S268" s="174">
        <x:v>2</x:v>
      </x:c>
      <x:c r="T268" s="174">
        <x:v>1</x:v>
      </x:c>
      <x:c r="U268" s="174">
        <x:v>2</x:v>
      </x:c>
      <x:c r="V268" s="174">
        <x:v>1</x:v>
      </x:c>
      <x:c r="W268" s="174">
        <x:v>2</x:v>
      </x:c>
      <x:c r="X268" s="174">
        <x:v>1</x:v>
      </x:c>
      <x:c r="Y268" s="174">
        <x:v>2</x:v>
      </x:c>
      <x:c r="Z268" s="174">
        <x:v>1</x:v>
      </x:c>
      <x:c r="AA268" s="174">
        <x:v>2</x:v>
      </x:c>
      <x:c r="AB268" s="174">
        <x:v>1</x:v>
      </x:c>
      <x:c r="AC268" s="174">
        <x:v>2</x:v>
      </x:c>
      <x:c r="AD268" s="175">
        <x:f t="shared" si="96"/>
        <x:v>0</x:v>
      </x:c>
      <x:c r="AE268" s="175">
        <x:f t="shared" si="96"/>
        <x:v>0</x:v>
      </x:c>
      <x:c r="AF268" s="175">
        <x:f t="shared" si="96"/>
        <x:v>0</x:v>
      </x:c>
      <x:c r="AG268" s="175">
        <x:f t="shared" si="96"/>
        <x:v>0</x:v>
      </x:c>
      <x:c r="AH268" s="175">
        <x:f t="shared" si="96"/>
        <x:v>0</x:v>
      </x:c>
      <x:c r="AI268" s="175">
        <x:f t="shared" si="96"/>
        <x:v>0</x:v>
      </x:c>
      <x:c r="AJ268" s="175">
        <x:f t="shared" si="96"/>
        <x:v>0</x:v>
      </x:c>
      <x:c r="AK268" s="175">
        <x:f t="shared" si="96"/>
        <x:v>0</x:v>
      </x:c>
      <x:c r="AL268" s="175">
        <x:f t="shared" si="96"/>
        <x:v>0</x:v>
      </x:c>
      <x:c r="AM268" s="175">
        <x:f t="shared" si="96"/>
        <x:v>0</x:v>
      </x:c>
      <x:c r="AN268" s="175">
        <x:f t="shared" si="96"/>
        <x:v>0</x:v>
      </x:c>
      <x:c r="AO268" s="176" t="str">
        <x:f t="shared" si="66"/>
        <x:v>0</x:v>
      </x:c>
      <x:c r="AP268" s="176" t="str">
        <x:f t="shared" si="67"/>
        <x:v>0</x:v>
      </x:c>
      <x:c r="AQ268" s="176" t="str">
        <x:f t="shared" si="68"/>
        <x:v>0</x:v>
      </x:c>
      <x:c r="AR268" s="176" t="str">
        <x:f t="shared" si="69"/>
        <x:v>0</x:v>
      </x:c>
      <x:c r="AS268" s="176" t="str">
        <x:f t="shared" si="70"/>
        <x:v>0</x:v>
      </x:c>
      <x:c r="AT268" s="176" t="str">
        <x:f t="shared" si="71"/>
        <x:v>0</x:v>
      </x:c>
      <x:c r="AU268" s="176" t="str">
        <x:f t="shared" si="72"/>
        <x:v>0</x:v>
      </x:c>
      <x:c r="AV268" s="176" t="str">
        <x:f t="shared" si="73"/>
        <x:v>0</x:v>
      </x:c>
      <x:c r="AW268" s="176" t="str">
        <x:f t="shared" si="74"/>
        <x:v>0</x:v>
      </x:c>
      <x:c r="AX268" s="176" t="str">
        <x:f t="shared" si="75"/>
        <x:v>0</x:v>
      </x:c>
      <x:c r="AY268" s="176" t="str">
        <x:f t="shared" si="76"/>
        <x:v>0</x:v>
      </x:c>
      <x:c r="AZ268" s="176" t="str">
        <x:f t="shared" si="77"/>
        <x:v>0</x:v>
      </x:c>
      <x:c r="BA268" s="176" t="str">
        <x:f t="shared" si="78"/>
        <x:v>0</x:v>
      </x:c>
      <x:c r="BB268" s="176" t="str">
        <x:f t="shared" si="79"/>
        <x:v>0</x:v>
      </x:c>
      <x:c r="BC268" s="176" t="str">
        <x:f t="shared" si="80"/>
        <x:v>0</x:v>
      </x:c>
      <x:c r="BD268" s="176" t="str">
        <x:f t="shared" si="81"/>
        <x:v>0</x:v>
      </x:c>
      <x:c r="BE268" s="176" t="str">
        <x:f t="shared" si="82"/>
        <x:v>0</x:v>
      </x:c>
      <x:c r="BF268" s="176" t="str">
        <x:f t="shared" si="83"/>
        <x:v>0</x:v>
      </x:c>
      <x:c r="BG268" s="176" t="str">
        <x:f t="shared" si="84"/>
        <x:v>0</x:v>
      </x:c>
      <x:c r="BH268" s="176" t="str">
        <x:f t="shared" si="85"/>
        <x:v>0</x:v>
      </x:c>
      <x:c r="BI268" s="176" t="str">
        <x:f t="shared" si="86"/>
        <x:v>0</x:v>
      </x:c>
      <x:c r="BJ268" s="176" t="str">
        <x:f t="shared" si="87"/>
        <x:v>0</x:v>
      </x:c>
      <x:c r="BK268" s="176"/>
      <x:c r="BL268" s="175">
        <x:f t="shared" si="88"/>
        <x:v>0</x:v>
      </x:c>
      <x:c r="BM268" s="177">
        <x:f t="shared" si="43"/>
        <x:v>0</x:v>
      </x:c>
      <x:c r="BN268" s="178">
        <x:f t="shared" si="89"/>
        <x:v>0</x:v>
      </x:c>
      <x:c r="BO268" s="179">
        <x:f t="shared" si="89"/>
        <x:v>0</x:v>
      </x:c>
    </x:row>
    <x:row r="269" s="162" customFormat="1" ht="19.899999618530273" hidden="1" customHeight="1">
      <x:c r="A269" s="170">
        <x:v>19</x:v>
      </x:c>
      <x:c r="B269" s="162" t="str">
        <x:f t="shared" ref="B269:C269" si="98">TEXT(B25,"00")</x:f>
      </x:c>
      <x:c r="C269" s="162" t="str">
        <x:f t="shared" si="98"/>
        <x:v>00</x:v>
      </x:c>
      <x:c r="D269" s="162" t="str">
        <x:f t="shared" si="5"/>
        <x:v>0000</x:v>
      </x:c>
      <x:c r="E269" s="162" t="str">
        <x:f t="shared" si="6"/>
        <x:v>000</x:v>
      </x:c>
      <x:c r="F269" s="171" t="str">
        <x:f t="shared" si="7"/>
        <x:v>0</x:v>
      </x:c>
      <x:c r="G269" s="172">
        <x:f t="shared" si="54"/>
        <x:v>0</x:v>
      </x:c>
      <x:c r="H269" s="173" t="str">
        <x:f t="shared" si="55"/>
        <x:v>0</x:v>
      </x:c>
      <x:c r="I269" s="173" t="str">
        <x:f t="shared" si="56"/>
        <x:v>0</x:v>
      </x:c>
      <x:c r="J269" s="173" t="str">
        <x:f t="shared" si="57"/>
        <x:v>0</x:v>
      </x:c>
      <x:c r="K269" s="173" t="str">
        <x:f t="shared" si="58"/>
        <x:v>0</x:v>
      </x:c>
      <x:c r="L269" s="173" t="str">
        <x:f t="shared" si="59"/>
        <x:v>0</x:v>
      </x:c>
      <x:c r="M269" s="173" t="str">
        <x:f t="shared" si="60"/>
        <x:v>0</x:v>
      </x:c>
      <x:c r="N269" s="173" t="str">
        <x:f t="shared" si="61"/>
        <x:v>0</x:v>
      </x:c>
      <x:c r="O269" s="173" t="str">
        <x:f t="shared" si="62"/>
        <x:v>0</x:v>
      </x:c>
      <x:c r="P269" s="173" t="str">
        <x:f t="shared" si="63"/>
        <x:v>0</x:v>
      </x:c>
      <x:c r="Q269" s="173" t="str">
        <x:f t="shared" si="64"/>
        <x:v>0</x:v>
      </x:c>
      <x:c r="R269" s="173" t="str">
        <x:f t="shared" si="65"/>
        <x:v>0</x:v>
      </x:c>
      <x:c r="S269" s="174">
        <x:v>2</x:v>
      </x:c>
      <x:c r="T269" s="174">
        <x:v>1</x:v>
      </x:c>
      <x:c r="U269" s="174">
        <x:v>2</x:v>
      </x:c>
      <x:c r="V269" s="174">
        <x:v>1</x:v>
      </x:c>
      <x:c r="W269" s="174">
        <x:v>2</x:v>
      </x:c>
      <x:c r="X269" s="174">
        <x:v>1</x:v>
      </x:c>
      <x:c r="Y269" s="174">
        <x:v>2</x:v>
      </x:c>
      <x:c r="Z269" s="174">
        <x:v>1</x:v>
      </x:c>
      <x:c r="AA269" s="174">
        <x:v>2</x:v>
      </x:c>
      <x:c r="AB269" s="174">
        <x:v>1</x:v>
      </x:c>
      <x:c r="AC269" s="174">
        <x:v>2</x:v>
      </x:c>
      <x:c r="AD269" s="175">
        <x:f t="shared" si="96"/>
        <x:v>0</x:v>
      </x:c>
      <x:c r="AE269" s="175">
        <x:f t="shared" si="96"/>
        <x:v>0</x:v>
      </x:c>
      <x:c r="AF269" s="175">
        <x:f t="shared" si="96"/>
        <x:v>0</x:v>
      </x:c>
      <x:c r="AG269" s="175">
        <x:f t="shared" si="96"/>
        <x:v>0</x:v>
      </x:c>
      <x:c r="AH269" s="175">
        <x:f t="shared" si="96"/>
        <x:v>0</x:v>
      </x:c>
      <x:c r="AI269" s="175">
        <x:f t="shared" si="96"/>
        <x:v>0</x:v>
      </x:c>
      <x:c r="AJ269" s="175">
        <x:f t="shared" si="96"/>
        <x:v>0</x:v>
      </x:c>
      <x:c r="AK269" s="175">
        <x:f t="shared" si="96"/>
        <x:v>0</x:v>
      </x:c>
      <x:c r="AL269" s="175">
        <x:f t="shared" si="96"/>
        <x:v>0</x:v>
      </x:c>
      <x:c r="AM269" s="175">
        <x:f t="shared" si="96"/>
        <x:v>0</x:v>
      </x:c>
      <x:c r="AN269" s="175">
        <x:f t="shared" si="96"/>
        <x:v>0</x:v>
      </x:c>
      <x:c r="AO269" s="176" t="str">
        <x:f t="shared" si="66"/>
        <x:v>0</x:v>
      </x:c>
      <x:c r="AP269" s="176" t="str">
        <x:f t="shared" si="67"/>
        <x:v>0</x:v>
      </x:c>
      <x:c r="AQ269" s="176" t="str">
        <x:f t="shared" si="68"/>
        <x:v>0</x:v>
      </x:c>
      <x:c r="AR269" s="176" t="str">
        <x:f t="shared" si="69"/>
        <x:v>0</x:v>
      </x:c>
      <x:c r="AS269" s="176" t="str">
        <x:f t="shared" si="70"/>
        <x:v>0</x:v>
      </x:c>
      <x:c r="AT269" s="176" t="str">
        <x:f t="shared" si="71"/>
        <x:v>0</x:v>
      </x:c>
      <x:c r="AU269" s="176" t="str">
        <x:f t="shared" si="72"/>
        <x:v>0</x:v>
      </x:c>
      <x:c r="AV269" s="176" t="str">
        <x:f t="shared" si="73"/>
        <x:v>0</x:v>
      </x:c>
      <x:c r="AW269" s="176" t="str">
        <x:f t="shared" si="74"/>
        <x:v>0</x:v>
      </x:c>
      <x:c r="AX269" s="176" t="str">
        <x:f t="shared" si="75"/>
        <x:v>0</x:v>
      </x:c>
      <x:c r="AY269" s="176" t="str">
        <x:f t="shared" si="76"/>
        <x:v>0</x:v>
      </x:c>
      <x:c r="AZ269" s="176" t="str">
        <x:f t="shared" si="77"/>
        <x:v>0</x:v>
      </x:c>
      <x:c r="BA269" s="176" t="str">
        <x:f t="shared" si="78"/>
        <x:v>0</x:v>
      </x:c>
      <x:c r="BB269" s="176" t="str">
        <x:f t="shared" si="79"/>
        <x:v>0</x:v>
      </x:c>
      <x:c r="BC269" s="176" t="str">
        <x:f t="shared" si="80"/>
        <x:v>0</x:v>
      </x:c>
      <x:c r="BD269" s="176" t="str">
        <x:f t="shared" si="81"/>
        <x:v>0</x:v>
      </x:c>
      <x:c r="BE269" s="176" t="str">
        <x:f t="shared" si="82"/>
        <x:v>0</x:v>
      </x:c>
      <x:c r="BF269" s="176" t="str">
        <x:f t="shared" si="83"/>
        <x:v>0</x:v>
      </x:c>
      <x:c r="BG269" s="176" t="str">
        <x:f t="shared" si="84"/>
        <x:v>0</x:v>
      </x:c>
      <x:c r="BH269" s="176" t="str">
        <x:f t="shared" si="85"/>
        <x:v>0</x:v>
      </x:c>
      <x:c r="BI269" s="176" t="str">
        <x:f t="shared" si="86"/>
        <x:v>0</x:v>
      </x:c>
      <x:c r="BJ269" s="176" t="str">
        <x:f t="shared" si="87"/>
        <x:v>0</x:v>
      </x:c>
      <x:c r="BK269" s="176"/>
      <x:c r="BL269" s="175">
        <x:f t="shared" si="88"/>
        <x:v>0</x:v>
      </x:c>
      <x:c r="BM269" s="177">
        <x:f t="shared" si="43"/>
        <x:v>0</x:v>
      </x:c>
      <x:c r="BN269" s="178">
        <x:f t="shared" si="89"/>
        <x:v>0</x:v>
      </x:c>
      <x:c r="BO269" s="179">
        <x:f t="shared" si="89"/>
        <x:v>0</x:v>
      </x:c>
    </x:row>
    <x:row r="270" s="162" customFormat="1" ht="19.899999618530273" hidden="1" customHeight="1">
      <x:c r="A270" s="170">
        <x:v>20</x:v>
      </x:c>
      <x:c r="B270" s="162" t="str">
        <x:f t="shared" ref="B270:C270" si="99">TEXT(B26,"00")</x:f>
      </x:c>
      <x:c r="C270" s="162" t="str">
        <x:f t="shared" si="99"/>
        <x:v>00</x:v>
      </x:c>
      <x:c r="D270" s="162" t="str">
        <x:f t="shared" si="5"/>
        <x:v>0000</x:v>
      </x:c>
      <x:c r="E270" s="162" t="str">
        <x:f t="shared" si="6"/>
        <x:v>000</x:v>
      </x:c>
      <x:c r="F270" s="171" t="str">
        <x:f t="shared" si="7"/>
        <x:v>0</x:v>
      </x:c>
      <x:c r="G270" s="172">
        <x:f t="shared" si="54"/>
        <x:v>0</x:v>
      </x:c>
      <x:c r="H270" s="173" t="str">
        <x:f t="shared" si="55"/>
        <x:v>0</x:v>
      </x:c>
      <x:c r="I270" s="173" t="str">
        <x:f t="shared" si="56"/>
        <x:v>0</x:v>
      </x:c>
      <x:c r="J270" s="173" t="str">
        <x:f t="shared" si="57"/>
        <x:v>0</x:v>
      </x:c>
      <x:c r="K270" s="173" t="str">
        <x:f t="shared" si="58"/>
        <x:v>0</x:v>
      </x:c>
      <x:c r="L270" s="173" t="str">
        <x:f t="shared" si="59"/>
        <x:v>0</x:v>
      </x:c>
      <x:c r="M270" s="173" t="str">
        <x:f t="shared" si="60"/>
        <x:v>0</x:v>
      </x:c>
      <x:c r="N270" s="173" t="str">
        <x:f t="shared" si="61"/>
        <x:v>0</x:v>
      </x:c>
      <x:c r="O270" s="173" t="str">
        <x:f t="shared" si="62"/>
        <x:v>0</x:v>
      </x:c>
      <x:c r="P270" s="173" t="str">
        <x:f t="shared" si="63"/>
        <x:v>0</x:v>
      </x:c>
      <x:c r="Q270" s="173" t="str">
        <x:f t="shared" si="64"/>
        <x:v>0</x:v>
      </x:c>
      <x:c r="R270" s="173" t="str">
        <x:f t="shared" si="65"/>
        <x:v>0</x:v>
      </x:c>
      <x:c r="S270" s="174">
        <x:v>2</x:v>
      </x:c>
      <x:c r="T270" s="174">
        <x:v>1</x:v>
      </x:c>
      <x:c r="U270" s="174">
        <x:v>2</x:v>
      </x:c>
      <x:c r="V270" s="174">
        <x:v>1</x:v>
      </x:c>
      <x:c r="W270" s="174">
        <x:v>2</x:v>
      </x:c>
      <x:c r="X270" s="174">
        <x:v>1</x:v>
      </x:c>
      <x:c r="Y270" s="174">
        <x:v>2</x:v>
      </x:c>
      <x:c r="Z270" s="174">
        <x:v>1</x:v>
      </x:c>
      <x:c r="AA270" s="174">
        <x:v>2</x:v>
      </x:c>
      <x:c r="AB270" s="174">
        <x:v>1</x:v>
      </x:c>
      <x:c r="AC270" s="174">
        <x:v>2</x:v>
      </x:c>
      <x:c r="AD270" s="175">
        <x:f t="shared" si="96"/>
        <x:v>0</x:v>
      </x:c>
      <x:c r="AE270" s="175">
        <x:f t="shared" si="96"/>
        <x:v>0</x:v>
      </x:c>
      <x:c r="AF270" s="175">
        <x:f t="shared" si="96"/>
        <x:v>0</x:v>
      </x:c>
      <x:c r="AG270" s="175">
        <x:f t="shared" si="96"/>
        <x:v>0</x:v>
      </x:c>
      <x:c r="AH270" s="175">
        <x:f t="shared" si="96"/>
        <x:v>0</x:v>
      </x:c>
      <x:c r="AI270" s="175">
        <x:f t="shared" si="96"/>
        <x:v>0</x:v>
      </x:c>
      <x:c r="AJ270" s="175">
        <x:f t="shared" si="96"/>
        <x:v>0</x:v>
      </x:c>
      <x:c r="AK270" s="175">
        <x:f t="shared" si="96"/>
        <x:v>0</x:v>
      </x:c>
      <x:c r="AL270" s="175">
        <x:f t="shared" si="96"/>
        <x:v>0</x:v>
      </x:c>
      <x:c r="AM270" s="175">
        <x:f t="shared" si="96"/>
        <x:v>0</x:v>
      </x:c>
      <x:c r="AN270" s="175">
        <x:f t="shared" si="96"/>
        <x:v>0</x:v>
      </x:c>
      <x:c r="AO270" s="176" t="str">
        <x:f t="shared" si="66"/>
        <x:v>0</x:v>
      </x:c>
      <x:c r="AP270" s="176" t="str">
        <x:f t="shared" si="67"/>
        <x:v>0</x:v>
      </x:c>
      <x:c r="AQ270" s="176" t="str">
        <x:f t="shared" si="68"/>
        <x:v>0</x:v>
      </x:c>
      <x:c r="AR270" s="176" t="str">
        <x:f t="shared" si="69"/>
        <x:v>0</x:v>
      </x:c>
      <x:c r="AS270" s="176" t="str">
        <x:f t="shared" si="70"/>
        <x:v>0</x:v>
      </x:c>
      <x:c r="AT270" s="176" t="str">
        <x:f t="shared" si="71"/>
        <x:v>0</x:v>
      </x:c>
      <x:c r="AU270" s="176" t="str">
        <x:f t="shared" si="72"/>
        <x:v>0</x:v>
      </x:c>
      <x:c r="AV270" s="176" t="str">
        <x:f t="shared" si="73"/>
        <x:v>0</x:v>
      </x:c>
      <x:c r="AW270" s="176" t="str">
        <x:f t="shared" si="74"/>
        <x:v>0</x:v>
      </x:c>
      <x:c r="AX270" s="176" t="str">
        <x:f t="shared" si="75"/>
        <x:v>0</x:v>
      </x:c>
      <x:c r="AY270" s="176" t="str">
        <x:f t="shared" si="76"/>
        <x:v>0</x:v>
      </x:c>
      <x:c r="AZ270" s="176" t="str">
        <x:f t="shared" si="77"/>
        <x:v>0</x:v>
      </x:c>
      <x:c r="BA270" s="176" t="str">
        <x:f t="shared" si="78"/>
        <x:v>0</x:v>
      </x:c>
      <x:c r="BB270" s="176" t="str">
        <x:f t="shared" si="79"/>
        <x:v>0</x:v>
      </x:c>
      <x:c r="BC270" s="176" t="str">
        <x:f t="shared" si="80"/>
        <x:v>0</x:v>
      </x:c>
      <x:c r="BD270" s="176" t="str">
        <x:f t="shared" si="81"/>
        <x:v>0</x:v>
      </x:c>
      <x:c r="BE270" s="176" t="str">
        <x:f t="shared" si="82"/>
        <x:v>0</x:v>
      </x:c>
      <x:c r="BF270" s="176" t="str">
        <x:f t="shared" si="83"/>
        <x:v>0</x:v>
      </x:c>
      <x:c r="BG270" s="176" t="str">
        <x:f t="shared" si="84"/>
        <x:v>0</x:v>
      </x:c>
      <x:c r="BH270" s="176" t="str">
        <x:f t="shared" si="85"/>
        <x:v>0</x:v>
      </x:c>
      <x:c r="BI270" s="176" t="str">
        <x:f t="shared" si="86"/>
        <x:v>0</x:v>
      </x:c>
      <x:c r="BJ270" s="176" t="str">
        <x:f t="shared" si="87"/>
        <x:v>0</x:v>
      </x:c>
      <x:c r="BK270" s="176"/>
      <x:c r="BL270" s="175">
        <x:f t="shared" si="88"/>
        <x:v>0</x:v>
      </x:c>
      <x:c r="BM270" s="177">
        <x:f t="shared" si="43"/>
        <x:v>0</x:v>
      </x:c>
      <x:c r="BN270" s="178">
        <x:f t="shared" si="89"/>
        <x:v>0</x:v>
      </x:c>
      <x:c r="BO270" s="179">
        <x:f t="shared" si="89"/>
        <x:v>0</x:v>
      </x:c>
    </x:row>
    <x:row r="271" s="162" customFormat="1" ht="19.899999618530273" hidden="1" customHeight="1">
      <x:c r="A271" s="170">
        <x:v>21</x:v>
      </x:c>
      <x:c r="B271" s="162" t="str">
        <x:f t="shared" ref="B271:C271" si="100">TEXT(B27,"00")</x:f>
      </x:c>
      <x:c r="C271" s="162" t="str">
        <x:f t="shared" si="100"/>
        <x:v>00</x:v>
      </x:c>
      <x:c r="D271" s="162" t="str">
        <x:f t="shared" si="5"/>
        <x:v>0000</x:v>
      </x:c>
      <x:c r="E271" s="162" t="str">
        <x:f t="shared" si="6"/>
        <x:v>000</x:v>
      </x:c>
      <x:c r="F271" s="171" t="str">
        <x:f t="shared" si="7"/>
        <x:v>0</x:v>
      </x:c>
      <x:c r="G271" s="172">
        <x:f t="shared" si="54"/>
        <x:v>0</x:v>
      </x:c>
      <x:c r="H271" s="173" t="str">
        <x:f t="shared" si="55"/>
        <x:v>0</x:v>
      </x:c>
      <x:c r="I271" s="173" t="str">
        <x:f t="shared" si="56"/>
        <x:v>0</x:v>
      </x:c>
      <x:c r="J271" s="173" t="str">
        <x:f t="shared" si="57"/>
        <x:v>0</x:v>
      </x:c>
      <x:c r="K271" s="173" t="str">
        <x:f t="shared" si="58"/>
        <x:v>0</x:v>
      </x:c>
      <x:c r="L271" s="173" t="str">
        <x:f t="shared" si="59"/>
        <x:v>0</x:v>
      </x:c>
      <x:c r="M271" s="173" t="str">
        <x:f t="shared" si="60"/>
        <x:v>0</x:v>
      </x:c>
      <x:c r="N271" s="173" t="str">
        <x:f t="shared" si="61"/>
        <x:v>0</x:v>
      </x:c>
      <x:c r="O271" s="173" t="str">
        <x:f t="shared" si="62"/>
        <x:v>0</x:v>
      </x:c>
      <x:c r="P271" s="173" t="str">
        <x:f t="shared" si="63"/>
        <x:v>0</x:v>
      </x:c>
      <x:c r="Q271" s="173" t="str">
        <x:f t="shared" si="64"/>
        <x:v>0</x:v>
      </x:c>
      <x:c r="R271" s="173" t="str">
        <x:f t="shared" si="65"/>
        <x:v>0</x:v>
      </x:c>
      <x:c r="S271" s="174">
        <x:v>2</x:v>
      </x:c>
      <x:c r="T271" s="174">
        <x:v>1</x:v>
      </x:c>
      <x:c r="U271" s="174">
        <x:v>2</x:v>
      </x:c>
      <x:c r="V271" s="174">
        <x:v>1</x:v>
      </x:c>
      <x:c r="W271" s="174">
        <x:v>2</x:v>
      </x:c>
      <x:c r="X271" s="174">
        <x:v>1</x:v>
      </x:c>
      <x:c r="Y271" s="174">
        <x:v>2</x:v>
      </x:c>
      <x:c r="Z271" s="174">
        <x:v>1</x:v>
      </x:c>
      <x:c r="AA271" s="174">
        <x:v>2</x:v>
      </x:c>
      <x:c r="AB271" s="174">
        <x:v>1</x:v>
      </x:c>
      <x:c r="AC271" s="174">
        <x:v>2</x:v>
      </x:c>
      <x:c r="AD271" s="175">
        <x:f t="shared" si="96"/>
        <x:v>0</x:v>
      </x:c>
      <x:c r="AE271" s="175">
        <x:f t="shared" si="96"/>
        <x:v>0</x:v>
      </x:c>
      <x:c r="AF271" s="175">
        <x:f t="shared" si="96"/>
        <x:v>0</x:v>
      </x:c>
      <x:c r="AG271" s="175">
        <x:f t="shared" si="96"/>
        <x:v>0</x:v>
      </x:c>
      <x:c r="AH271" s="175">
        <x:f t="shared" si="96"/>
        <x:v>0</x:v>
      </x:c>
      <x:c r="AI271" s="175">
        <x:f t="shared" si="96"/>
        <x:v>0</x:v>
      </x:c>
      <x:c r="AJ271" s="175">
        <x:f t="shared" si="96"/>
        <x:v>0</x:v>
      </x:c>
      <x:c r="AK271" s="175">
        <x:f t="shared" si="96"/>
        <x:v>0</x:v>
      </x:c>
      <x:c r="AL271" s="175">
        <x:f t="shared" si="96"/>
        <x:v>0</x:v>
      </x:c>
      <x:c r="AM271" s="175">
        <x:f t="shared" si="96"/>
        <x:v>0</x:v>
      </x:c>
      <x:c r="AN271" s="175">
        <x:f t="shared" si="96"/>
        <x:v>0</x:v>
      </x:c>
      <x:c r="AO271" s="176" t="str">
        <x:f t="shared" si="66"/>
        <x:v>0</x:v>
      </x:c>
      <x:c r="AP271" s="176" t="str">
        <x:f t="shared" si="67"/>
        <x:v>0</x:v>
      </x:c>
      <x:c r="AQ271" s="176" t="str">
        <x:f t="shared" si="68"/>
        <x:v>0</x:v>
      </x:c>
      <x:c r="AR271" s="176" t="str">
        <x:f t="shared" si="69"/>
        <x:v>0</x:v>
      </x:c>
      <x:c r="AS271" s="176" t="str">
        <x:f t="shared" si="70"/>
        <x:v>0</x:v>
      </x:c>
      <x:c r="AT271" s="176" t="str">
        <x:f t="shared" si="71"/>
        <x:v>0</x:v>
      </x:c>
      <x:c r="AU271" s="176" t="str">
        <x:f t="shared" si="72"/>
        <x:v>0</x:v>
      </x:c>
      <x:c r="AV271" s="176" t="str">
        <x:f t="shared" si="73"/>
        <x:v>0</x:v>
      </x:c>
      <x:c r="AW271" s="176" t="str">
        <x:f t="shared" si="74"/>
        <x:v>0</x:v>
      </x:c>
      <x:c r="AX271" s="176" t="str">
        <x:f t="shared" si="75"/>
        <x:v>0</x:v>
      </x:c>
      <x:c r="AY271" s="176" t="str">
        <x:f t="shared" si="76"/>
        <x:v>0</x:v>
      </x:c>
      <x:c r="AZ271" s="176" t="str">
        <x:f t="shared" si="77"/>
        <x:v>0</x:v>
      </x:c>
      <x:c r="BA271" s="176" t="str">
        <x:f t="shared" si="78"/>
        <x:v>0</x:v>
      </x:c>
      <x:c r="BB271" s="176" t="str">
        <x:f t="shared" si="79"/>
        <x:v>0</x:v>
      </x:c>
      <x:c r="BC271" s="176" t="str">
        <x:f t="shared" si="80"/>
        <x:v>0</x:v>
      </x:c>
      <x:c r="BD271" s="176" t="str">
        <x:f t="shared" si="81"/>
        <x:v>0</x:v>
      </x:c>
      <x:c r="BE271" s="176" t="str">
        <x:f t="shared" si="82"/>
        <x:v>0</x:v>
      </x:c>
      <x:c r="BF271" s="176" t="str">
        <x:f t="shared" si="83"/>
        <x:v>0</x:v>
      </x:c>
      <x:c r="BG271" s="176" t="str">
        <x:f t="shared" si="84"/>
        <x:v>0</x:v>
      </x:c>
      <x:c r="BH271" s="176" t="str">
        <x:f t="shared" si="85"/>
        <x:v>0</x:v>
      </x:c>
      <x:c r="BI271" s="176" t="str">
        <x:f t="shared" si="86"/>
        <x:v>0</x:v>
      </x:c>
      <x:c r="BJ271" s="176" t="str">
        <x:f t="shared" si="87"/>
        <x:v>0</x:v>
      </x:c>
      <x:c r="BK271" s="176"/>
      <x:c r="BL271" s="175">
        <x:f t="shared" si="88"/>
        <x:v>0</x:v>
      </x:c>
      <x:c r="BM271" s="177">
        <x:f t="shared" si="43"/>
        <x:v>0</x:v>
      </x:c>
      <x:c r="BN271" s="178">
        <x:f t="shared" si="89"/>
        <x:v>0</x:v>
      </x:c>
      <x:c r="BO271" s="179">
        <x:f t="shared" si="89"/>
        <x:v>0</x:v>
      </x:c>
    </x:row>
    <x:row r="272" s="162" customFormat="1" ht="19.899999618530273" hidden="1" customHeight="1">
      <x:c r="A272" s="170">
        <x:v>22</x:v>
      </x:c>
      <x:c r="B272" s="162" t="str">
        <x:f t="shared" ref="B272:C272" si="101">TEXT(B28,"00")</x:f>
      </x:c>
      <x:c r="C272" s="162" t="str">
        <x:f t="shared" si="101"/>
        <x:v>00</x:v>
      </x:c>
      <x:c r="D272" s="162" t="str">
        <x:f t="shared" si="5"/>
        <x:v>0000</x:v>
      </x:c>
      <x:c r="E272" s="162" t="str">
        <x:f t="shared" si="6"/>
        <x:v>000</x:v>
      </x:c>
      <x:c r="F272" s="171" t="str">
        <x:f t="shared" si="7"/>
        <x:v>0</x:v>
      </x:c>
      <x:c r="G272" s="172">
        <x:f t="shared" si="54"/>
        <x:v>0</x:v>
      </x:c>
      <x:c r="H272" s="173" t="str">
        <x:f t="shared" si="55"/>
        <x:v>0</x:v>
      </x:c>
      <x:c r="I272" s="173" t="str">
        <x:f t="shared" si="56"/>
        <x:v>0</x:v>
      </x:c>
      <x:c r="J272" s="173" t="str">
        <x:f t="shared" si="57"/>
        <x:v>0</x:v>
      </x:c>
      <x:c r="K272" s="173" t="str">
        <x:f t="shared" si="58"/>
        <x:v>0</x:v>
      </x:c>
      <x:c r="L272" s="173" t="str">
        <x:f t="shared" si="59"/>
        <x:v>0</x:v>
      </x:c>
      <x:c r="M272" s="173" t="str">
        <x:f t="shared" si="60"/>
        <x:v>0</x:v>
      </x:c>
      <x:c r="N272" s="173" t="str">
        <x:f t="shared" si="61"/>
        <x:v>0</x:v>
      </x:c>
      <x:c r="O272" s="173" t="str">
        <x:f t="shared" si="62"/>
        <x:v>0</x:v>
      </x:c>
      <x:c r="P272" s="173" t="str">
        <x:f t="shared" si="63"/>
        <x:v>0</x:v>
      </x:c>
      <x:c r="Q272" s="173" t="str">
        <x:f t="shared" si="64"/>
        <x:v>0</x:v>
      </x:c>
      <x:c r="R272" s="173" t="str">
        <x:f t="shared" si="65"/>
        <x:v>0</x:v>
      </x:c>
      <x:c r="S272" s="174">
        <x:v>2</x:v>
      </x:c>
      <x:c r="T272" s="174">
        <x:v>1</x:v>
      </x:c>
      <x:c r="U272" s="174">
        <x:v>2</x:v>
      </x:c>
      <x:c r="V272" s="174">
        <x:v>1</x:v>
      </x:c>
      <x:c r="W272" s="174">
        <x:v>2</x:v>
      </x:c>
      <x:c r="X272" s="174">
        <x:v>1</x:v>
      </x:c>
      <x:c r="Y272" s="174">
        <x:v>2</x:v>
      </x:c>
      <x:c r="Z272" s="174">
        <x:v>1</x:v>
      </x:c>
      <x:c r="AA272" s="174">
        <x:v>2</x:v>
      </x:c>
      <x:c r="AB272" s="174">
        <x:v>1</x:v>
      </x:c>
      <x:c r="AC272" s="174">
        <x:v>2</x:v>
      </x:c>
      <x:c r="AD272" s="175">
        <x:f t="shared" si="96"/>
        <x:v>0</x:v>
      </x:c>
      <x:c r="AE272" s="175">
        <x:f t="shared" si="96"/>
        <x:v>0</x:v>
      </x:c>
      <x:c r="AF272" s="175">
        <x:f t="shared" si="96"/>
        <x:v>0</x:v>
      </x:c>
      <x:c r="AG272" s="175">
        <x:f t="shared" si="96"/>
        <x:v>0</x:v>
      </x:c>
      <x:c r="AH272" s="175">
        <x:f t="shared" si="96"/>
        <x:v>0</x:v>
      </x:c>
      <x:c r="AI272" s="175">
        <x:f t="shared" si="96"/>
        <x:v>0</x:v>
      </x:c>
      <x:c r="AJ272" s="175">
        <x:f t="shared" si="96"/>
        <x:v>0</x:v>
      </x:c>
      <x:c r="AK272" s="175">
        <x:f t="shared" si="96"/>
        <x:v>0</x:v>
      </x:c>
      <x:c r="AL272" s="175">
        <x:f t="shared" si="96"/>
        <x:v>0</x:v>
      </x:c>
      <x:c r="AM272" s="175">
        <x:f t="shared" si="96"/>
        <x:v>0</x:v>
      </x:c>
      <x:c r="AN272" s="175">
        <x:f t="shared" si="96"/>
        <x:v>0</x:v>
      </x:c>
      <x:c r="AO272" s="176" t="str">
        <x:f t="shared" si="66"/>
        <x:v>0</x:v>
      </x:c>
      <x:c r="AP272" s="176" t="str">
        <x:f t="shared" si="67"/>
        <x:v>0</x:v>
      </x:c>
      <x:c r="AQ272" s="176" t="str">
        <x:f t="shared" si="68"/>
        <x:v>0</x:v>
      </x:c>
      <x:c r="AR272" s="176" t="str">
        <x:f t="shared" si="69"/>
        <x:v>0</x:v>
      </x:c>
      <x:c r="AS272" s="176" t="str">
        <x:f t="shared" si="70"/>
        <x:v>0</x:v>
      </x:c>
      <x:c r="AT272" s="176" t="str">
        <x:f t="shared" si="71"/>
        <x:v>0</x:v>
      </x:c>
      <x:c r="AU272" s="176" t="str">
        <x:f t="shared" si="72"/>
        <x:v>0</x:v>
      </x:c>
      <x:c r="AV272" s="176" t="str">
        <x:f t="shared" si="73"/>
        <x:v>0</x:v>
      </x:c>
      <x:c r="AW272" s="176" t="str">
        <x:f t="shared" si="74"/>
        <x:v>0</x:v>
      </x:c>
      <x:c r="AX272" s="176" t="str">
        <x:f t="shared" si="75"/>
        <x:v>0</x:v>
      </x:c>
      <x:c r="AY272" s="176" t="str">
        <x:f t="shared" si="76"/>
        <x:v>0</x:v>
      </x:c>
      <x:c r="AZ272" s="176" t="str">
        <x:f t="shared" si="77"/>
        <x:v>0</x:v>
      </x:c>
      <x:c r="BA272" s="176" t="str">
        <x:f t="shared" si="78"/>
        <x:v>0</x:v>
      </x:c>
      <x:c r="BB272" s="176" t="str">
        <x:f t="shared" si="79"/>
        <x:v>0</x:v>
      </x:c>
      <x:c r="BC272" s="176" t="str">
        <x:f t="shared" si="80"/>
        <x:v>0</x:v>
      </x:c>
      <x:c r="BD272" s="176" t="str">
        <x:f t="shared" si="81"/>
        <x:v>0</x:v>
      </x:c>
      <x:c r="BE272" s="176" t="str">
        <x:f t="shared" si="82"/>
        <x:v>0</x:v>
      </x:c>
      <x:c r="BF272" s="176" t="str">
        <x:f t="shared" si="83"/>
        <x:v>0</x:v>
      </x:c>
      <x:c r="BG272" s="176" t="str">
        <x:f t="shared" si="84"/>
        <x:v>0</x:v>
      </x:c>
      <x:c r="BH272" s="176" t="str">
        <x:f t="shared" si="85"/>
        <x:v>0</x:v>
      </x:c>
      <x:c r="BI272" s="176" t="str">
        <x:f t="shared" si="86"/>
        <x:v>0</x:v>
      </x:c>
      <x:c r="BJ272" s="176" t="str">
        <x:f t="shared" si="87"/>
        <x:v>0</x:v>
      </x:c>
      <x:c r="BK272" s="176"/>
      <x:c r="BL272" s="175">
        <x:f t="shared" si="88"/>
        <x:v>0</x:v>
      </x:c>
      <x:c r="BM272" s="177">
        <x:f t="shared" si="43"/>
        <x:v>0</x:v>
      </x:c>
      <x:c r="BN272" s="178">
        <x:f t="shared" si="89"/>
        <x:v>0</x:v>
      </x:c>
      <x:c r="BO272" s="179">
        <x:f t="shared" si="89"/>
        <x:v>0</x:v>
      </x:c>
    </x:row>
    <x:row r="273" s="162" customFormat="1" ht="19.899999618530273" hidden="1" customHeight="1">
      <x:c r="A273" s="170">
        <x:v>23</x:v>
      </x:c>
      <x:c r="B273" s="162" t="str">
        <x:f t="shared" ref="B273:C273" si="102">TEXT(B29,"00")</x:f>
      </x:c>
      <x:c r="C273" s="162" t="str">
        <x:f t="shared" si="102"/>
        <x:v>00</x:v>
      </x:c>
      <x:c r="D273" s="162" t="str">
        <x:f t="shared" si="5"/>
        <x:v>0000</x:v>
      </x:c>
      <x:c r="E273" s="162" t="str">
        <x:f t="shared" si="6"/>
        <x:v>000</x:v>
      </x:c>
      <x:c r="F273" s="171" t="str">
        <x:f t="shared" si="7"/>
        <x:v>0</x:v>
      </x:c>
      <x:c r="G273" s="172">
        <x:f t="shared" si="54"/>
        <x:v>0</x:v>
      </x:c>
      <x:c r="H273" s="173" t="str">
        <x:f t="shared" si="55"/>
        <x:v>0</x:v>
      </x:c>
      <x:c r="I273" s="173" t="str">
        <x:f t="shared" si="56"/>
        <x:v>0</x:v>
      </x:c>
      <x:c r="J273" s="173" t="str">
        <x:f t="shared" si="57"/>
        <x:v>0</x:v>
      </x:c>
      <x:c r="K273" s="173" t="str">
        <x:f t="shared" si="58"/>
        <x:v>0</x:v>
      </x:c>
      <x:c r="L273" s="173" t="str">
        <x:f t="shared" si="59"/>
        <x:v>0</x:v>
      </x:c>
      <x:c r="M273" s="173" t="str">
        <x:f t="shared" si="60"/>
        <x:v>0</x:v>
      </x:c>
      <x:c r="N273" s="173" t="str">
        <x:f t="shared" si="61"/>
        <x:v>0</x:v>
      </x:c>
      <x:c r="O273" s="173" t="str">
        <x:f t="shared" si="62"/>
        <x:v>0</x:v>
      </x:c>
      <x:c r="P273" s="173" t="str">
        <x:f t="shared" si="63"/>
        <x:v>0</x:v>
      </x:c>
      <x:c r="Q273" s="173" t="str">
        <x:f t="shared" si="64"/>
        <x:v>0</x:v>
      </x:c>
      <x:c r="R273" s="173" t="str">
        <x:f t="shared" si="65"/>
        <x:v>0</x:v>
      </x:c>
      <x:c r="S273" s="174">
        <x:v>2</x:v>
      </x:c>
      <x:c r="T273" s="174">
        <x:v>1</x:v>
      </x:c>
      <x:c r="U273" s="174">
        <x:v>2</x:v>
      </x:c>
      <x:c r="V273" s="174">
        <x:v>1</x:v>
      </x:c>
      <x:c r="W273" s="174">
        <x:v>2</x:v>
      </x:c>
      <x:c r="X273" s="174">
        <x:v>1</x:v>
      </x:c>
      <x:c r="Y273" s="174">
        <x:v>2</x:v>
      </x:c>
      <x:c r="Z273" s="174">
        <x:v>1</x:v>
      </x:c>
      <x:c r="AA273" s="174">
        <x:v>2</x:v>
      </x:c>
      <x:c r="AB273" s="174">
        <x:v>1</x:v>
      </x:c>
      <x:c r="AC273" s="174">
        <x:v>2</x:v>
      </x:c>
      <x:c r="AD273" s="175">
        <x:f t="shared" si="96"/>
        <x:v>0</x:v>
      </x:c>
      <x:c r="AE273" s="175">
        <x:f t="shared" si="96"/>
        <x:v>0</x:v>
      </x:c>
      <x:c r="AF273" s="175">
        <x:f t="shared" si="96"/>
        <x:v>0</x:v>
      </x:c>
      <x:c r="AG273" s="175">
        <x:f t="shared" si="96"/>
        <x:v>0</x:v>
      </x:c>
      <x:c r="AH273" s="175">
        <x:f t="shared" si="96"/>
        <x:v>0</x:v>
      </x:c>
      <x:c r="AI273" s="175">
        <x:f t="shared" si="96"/>
        <x:v>0</x:v>
      </x:c>
      <x:c r="AJ273" s="175">
        <x:f t="shared" si="96"/>
        <x:v>0</x:v>
      </x:c>
      <x:c r="AK273" s="175">
        <x:f t="shared" si="96"/>
        <x:v>0</x:v>
      </x:c>
      <x:c r="AL273" s="175">
        <x:f t="shared" si="96"/>
        <x:v>0</x:v>
      </x:c>
      <x:c r="AM273" s="175">
        <x:f t="shared" si="96"/>
        <x:v>0</x:v>
      </x:c>
      <x:c r="AN273" s="175">
        <x:f t="shared" si="96"/>
        <x:v>0</x:v>
      </x:c>
      <x:c r="AO273" s="176" t="str">
        <x:f t="shared" si="66"/>
        <x:v>0</x:v>
      </x:c>
      <x:c r="AP273" s="176" t="str">
        <x:f t="shared" si="67"/>
        <x:v>0</x:v>
      </x:c>
      <x:c r="AQ273" s="176" t="str">
        <x:f t="shared" si="68"/>
        <x:v>0</x:v>
      </x:c>
      <x:c r="AR273" s="176" t="str">
        <x:f t="shared" si="69"/>
        <x:v>0</x:v>
      </x:c>
      <x:c r="AS273" s="176" t="str">
        <x:f t="shared" si="70"/>
        <x:v>0</x:v>
      </x:c>
      <x:c r="AT273" s="176" t="str">
        <x:f t="shared" si="71"/>
        <x:v>0</x:v>
      </x:c>
      <x:c r="AU273" s="176" t="str">
        <x:f t="shared" si="72"/>
        <x:v>0</x:v>
      </x:c>
      <x:c r="AV273" s="176" t="str">
        <x:f t="shared" si="73"/>
        <x:v>0</x:v>
      </x:c>
      <x:c r="AW273" s="176" t="str">
        <x:f t="shared" si="74"/>
        <x:v>0</x:v>
      </x:c>
      <x:c r="AX273" s="176" t="str">
        <x:f t="shared" si="75"/>
        <x:v>0</x:v>
      </x:c>
      <x:c r="AY273" s="176" t="str">
        <x:f t="shared" si="76"/>
        <x:v>0</x:v>
      </x:c>
      <x:c r="AZ273" s="176" t="str">
        <x:f t="shared" si="77"/>
        <x:v>0</x:v>
      </x:c>
      <x:c r="BA273" s="176" t="str">
        <x:f t="shared" si="78"/>
        <x:v>0</x:v>
      </x:c>
      <x:c r="BB273" s="176" t="str">
        <x:f t="shared" si="79"/>
        <x:v>0</x:v>
      </x:c>
      <x:c r="BC273" s="176" t="str">
        <x:f t="shared" si="80"/>
        <x:v>0</x:v>
      </x:c>
      <x:c r="BD273" s="176" t="str">
        <x:f t="shared" si="81"/>
        <x:v>0</x:v>
      </x:c>
      <x:c r="BE273" s="176" t="str">
        <x:f t="shared" si="82"/>
        <x:v>0</x:v>
      </x:c>
      <x:c r="BF273" s="176" t="str">
        <x:f t="shared" si="83"/>
        <x:v>0</x:v>
      </x:c>
      <x:c r="BG273" s="176" t="str">
        <x:f t="shared" si="84"/>
        <x:v>0</x:v>
      </x:c>
      <x:c r="BH273" s="176" t="str">
        <x:f t="shared" si="85"/>
        <x:v>0</x:v>
      </x:c>
      <x:c r="BI273" s="176" t="str">
        <x:f t="shared" si="86"/>
        <x:v>0</x:v>
      </x:c>
      <x:c r="BJ273" s="176" t="str">
        <x:f t="shared" si="87"/>
        <x:v>0</x:v>
      </x:c>
      <x:c r="BK273" s="176"/>
      <x:c r="BL273" s="175">
        <x:f t="shared" si="88"/>
        <x:v>0</x:v>
      </x:c>
      <x:c r="BM273" s="177">
        <x:f t="shared" si="43"/>
        <x:v>0</x:v>
      </x:c>
      <x:c r="BN273" s="178">
        <x:f t="shared" si="89"/>
        <x:v>0</x:v>
      </x:c>
      <x:c r="BO273" s="179">
        <x:f t="shared" si="89"/>
        <x:v>0</x:v>
      </x:c>
    </x:row>
    <x:row r="274" s="162" customFormat="1" ht="19.899999618530273" hidden="1" customHeight="1">
      <x:c r="A274" s="170">
        <x:v>24</x:v>
      </x:c>
      <x:c r="B274" s="162" t="str">
        <x:f t="shared" ref="B274:C274" si="103">TEXT(B30,"00")</x:f>
      </x:c>
      <x:c r="C274" s="162" t="str">
        <x:f t="shared" si="103"/>
        <x:v>00</x:v>
      </x:c>
      <x:c r="D274" s="162" t="str">
        <x:f t="shared" si="5"/>
        <x:v>0000</x:v>
      </x:c>
      <x:c r="E274" s="162" t="str">
        <x:f t="shared" si="6"/>
        <x:v>000</x:v>
      </x:c>
      <x:c r="F274" s="171" t="str">
        <x:f t="shared" si="7"/>
        <x:v>0</x:v>
      </x:c>
      <x:c r="G274" s="172">
        <x:f t="shared" si="54"/>
        <x:v>0</x:v>
      </x:c>
      <x:c r="H274" s="173" t="str">
        <x:f t="shared" si="55"/>
        <x:v>0</x:v>
      </x:c>
      <x:c r="I274" s="173" t="str">
        <x:f t="shared" si="56"/>
        <x:v>0</x:v>
      </x:c>
      <x:c r="J274" s="173" t="str">
        <x:f t="shared" si="57"/>
        <x:v>0</x:v>
      </x:c>
      <x:c r="K274" s="173" t="str">
        <x:f t="shared" si="58"/>
        <x:v>0</x:v>
      </x:c>
      <x:c r="L274" s="173" t="str">
        <x:f t="shared" si="59"/>
        <x:v>0</x:v>
      </x:c>
      <x:c r="M274" s="173" t="str">
        <x:f t="shared" si="60"/>
        <x:v>0</x:v>
      </x:c>
      <x:c r="N274" s="173" t="str">
        <x:f t="shared" si="61"/>
        <x:v>0</x:v>
      </x:c>
      <x:c r="O274" s="173" t="str">
        <x:f t="shared" si="62"/>
        <x:v>0</x:v>
      </x:c>
      <x:c r="P274" s="173" t="str">
        <x:f t="shared" si="63"/>
        <x:v>0</x:v>
      </x:c>
      <x:c r="Q274" s="173" t="str">
        <x:f t="shared" si="64"/>
        <x:v>0</x:v>
      </x:c>
      <x:c r="R274" s="173" t="str">
        <x:f t="shared" si="65"/>
        <x:v>0</x:v>
      </x:c>
      <x:c r="S274" s="174">
        <x:v>2</x:v>
      </x:c>
      <x:c r="T274" s="174">
        <x:v>1</x:v>
      </x:c>
      <x:c r="U274" s="174">
        <x:v>2</x:v>
      </x:c>
      <x:c r="V274" s="174">
        <x:v>1</x:v>
      </x:c>
      <x:c r="W274" s="174">
        <x:v>2</x:v>
      </x:c>
      <x:c r="X274" s="174">
        <x:v>1</x:v>
      </x:c>
      <x:c r="Y274" s="174">
        <x:v>2</x:v>
      </x:c>
      <x:c r="Z274" s="174">
        <x:v>1</x:v>
      </x:c>
      <x:c r="AA274" s="174">
        <x:v>2</x:v>
      </x:c>
      <x:c r="AB274" s="174">
        <x:v>1</x:v>
      </x:c>
      <x:c r="AC274" s="174">
        <x:v>2</x:v>
      </x:c>
      <x:c r="AD274" s="175">
        <x:f t="shared" si="96"/>
        <x:v>0</x:v>
      </x:c>
      <x:c r="AE274" s="175">
        <x:f t="shared" si="96"/>
        <x:v>0</x:v>
      </x:c>
      <x:c r="AF274" s="175">
        <x:f t="shared" si="96"/>
        <x:v>0</x:v>
      </x:c>
      <x:c r="AG274" s="175">
        <x:f t="shared" si="96"/>
        <x:v>0</x:v>
      </x:c>
      <x:c r="AH274" s="175">
        <x:f t="shared" si="96"/>
        <x:v>0</x:v>
      </x:c>
      <x:c r="AI274" s="175">
        <x:f t="shared" si="96"/>
        <x:v>0</x:v>
      </x:c>
      <x:c r="AJ274" s="175">
        <x:f t="shared" si="96"/>
        <x:v>0</x:v>
      </x:c>
      <x:c r="AK274" s="175">
        <x:f t="shared" si="96"/>
        <x:v>0</x:v>
      </x:c>
      <x:c r="AL274" s="175">
        <x:f t="shared" si="96"/>
        <x:v>0</x:v>
      </x:c>
      <x:c r="AM274" s="175">
        <x:f t="shared" si="96"/>
        <x:v>0</x:v>
      </x:c>
      <x:c r="AN274" s="175">
        <x:f t="shared" si="96"/>
        <x:v>0</x:v>
      </x:c>
      <x:c r="AO274" s="176" t="str">
        <x:f t="shared" si="66"/>
        <x:v>0</x:v>
      </x:c>
      <x:c r="AP274" s="176" t="str">
        <x:f t="shared" si="67"/>
        <x:v>0</x:v>
      </x:c>
      <x:c r="AQ274" s="176" t="str">
        <x:f t="shared" si="68"/>
        <x:v>0</x:v>
      </x:c>
      <x:c r="AR274" s="176" t="str">
        <x:f t="shared" si="69"/>
        <x:v>0</x:v>
      </x:c>
      <x:c r="AS274" s="176" t="str">
        <x:f t="shared" si="70"/>
        <x:v>0</x:v>
      </x:c>
      <x:c r="AT274" s="176" t="str">
        <x:f t="shared" si="71"/>
        <x:v>0</x:v>
      </x:c>
      <x:c r="AU274" s="176" t="str">
        <x:f t="shared" si="72"/>
        <x:v>0</x:v>
      </x:c>
      <x:c r="AV274" s="176" t="str">
        <x:f t="shared" si="73"/>
        <x:v>0</x:v>
      </x:c>
      <x:c r="AW274" s="176" t="str">
        <x:f t="shared" si="74"/>
        <x:v>0</x:v>
      </x:c>
      <x:c r="AX274" s="176" t="str">
        <x:f t="shared" si="75"/>
        <x:v>0</x:v>
      </x:c>
      <x:c r="AY274" s="176" t="str">
        <x:f t="shared" si="76"/>
        <x:v>0</x:v>
      </x:c>
      <x:c r="AZ274" s="176" t="str">
        <x:f t="shared" si="77"/>
        <x:v>0</x:v>
      </x:c>
      <x:c r="BA274" s="176" t="str">
        <x:f t="shared" si="78"/>
        <x:v>0</x:v>
      </x:c>
      <x:c r="BB274" s="176" t="str">
        <x:f t="shared" si="79"/>
        <x:v>0</x:v>
      </x:c>
      <x:c r="BC274" s="176" t="str">
        <x:f t="shared" si="80"/>
        <x:v>0</x:v>
      </x:c>
      <x:c r="BD274" s="176" t="str">
        <x:f t="shared" si="81"/>
        <x:v>0</x:v>
      </x:c>
      <x:c r="BE274" s="176" t="str">
        <x:f t="shared" si="82"/>
        <x:v>0</x:v>
      </x:c>
      <x:c r="BF274" s="176" t="str">
        <x:f t="shared" si="83"/>
        <x:v>0</x:v>
      </x:c>
      <x:c r="BG274" s="176" t="str">
        <x:f t="shared" si="84"/>
        <x:v>0</x:v>
      </x:c>
      <x:c r="BH274" s="176" t="str">
        <x:f t="shared" si="85"/>
        <x:v>0</x:v>
      </x:c>
      <x:c r="BI274" s="176" t="str">
        <x:f t="shared" si="86"/>
        <x:v>0</x:v>
      </x:c>
      <x:c r="BJ274" s="176" t="str">
        <x:f t="shared" si="87"/>
        <x:v>0</x:v>
      </x:c>
      <x:c r="BK274" s="176"/>
      <x:c r="BL274" s="175">
        <x:f t="shared" si="88"/>
        <x:v>0</x:v>
      </x:c>
      <x:c r="BM274" s="177">
        <x:f t="shared" si="43"/>
        <x:v>0</x:v>
      </x:c>
      <x:c r="BN274" s="178">
        <x:f t="shared" si="89"/>
        <x:v>0</x:v>
      </x:c>
      <x:c r="BO274" s="179">
        <x:f t="shared" si="89"/>
        <x:v>0</x:v>
      </x:c>
    </x:row>
    <x:row r="275" s="162" customFormat="1" ht="19.899999618530273" hidden="1" customHeight="1">
      <x:c r="A275" s="170">
        <x:v>25</x:v>
      </x:c>
      <x:c r="B275" s="162" t="str">
        <x:f t="shared" ref="B275:C275" si="104">TEXT(B31,"00")</x:f>
      </x:c>
      <x:c r="C275" s="162" t="str">
        <x:f t="shared" si="104"/>
        <x:v>00</x:v>
      </x:c>
      <x:c r="D275" s="162" t="str">
        <x:f t="shared" si="5"/>
        <x:v>0000</x:v>
      </x:c>
      <x:c r="E275" s="162" t="str">
        <x:f t="shared" si="6"/>
        <x:v>000</x:v>
      </x:c>
      <x:c r="F275" s="171" t="str">
        <x:f t="shared" si="7"/>
        <x:v>0</x:v>
      </x:c>
      <x:c r="G275" s="172">
        <x:f t="shared" si="54"/>
        <x:v>0</x:v>
      </x:c>
      <x:c r="H275" s="173" t="str">
        <x:f t="shared" si="55"/>
        <x:v>0</x:v>
      </x:c>
      <x:c r="I275" s="173" t="str">
        <x:f t="shared" si="56"/>
        <x:v>0</x:v>
      </x:c>
      <x:c r="J275" s="173" t="str">
        <x:f t="shared" si="57"/>
        <x:v>0</x:v>
      </x:c>
      <x:c r="K275" s="173" t="str">
        <x:f t="shared" si="58"/>
        <x:v>0</x:v>
      </x:c>
      <x:c r="L275" s="173" t="str">
        <x:f t="shared" si="59"/>
        <x:v>0</x:v>
      </x:c>
      <x:c r="M275" s="173" t="str">
        <x:f t="shared" si="60"/>
        <x:v>0</x:v>
      </x:c>
      <x:c r="N275" s="173" t="str">
        <x:f t="shared" si="61"/>
        <x:v>0</x:v>
      </x:c>
      <x:c r="O275" s="173" t="str">
        <x:f t="shared" si="62"/>
        <x:v>0</x:v>
      </x:c>
      <x:c r="P275" s="173" t="str">
        <x:f t="shared" si="63"/>
        <x:v>0</x:v>
      </x:c>
      <x:c r="Q275" s="173" t="str">
        <x:f t="shared" si="64"/>
        <x:v>0</x:v>
      </x:c>
      <x:c r="R275" s="173" t="str">
        <x:f t="shared" si="65"/>
        <x:v>0</x:v>
      </x:c>
      <x:c r="S275" s="174">
        <x:v>2</x:v>
      </x:c>
      <x:c r="T275" s="174">
        <x:v>1</x:v>
      </x:c>
      <x:c r="U275" s="174">
        <x:v>2</x:v>
      </x:c>
      <x:c r="V275" s="174">
        <x:v>1</x:v>
      </x:c>
      <x:c r="W275" s="174">
        <x:v>2</x:v>
      </x:c>
      <x:c r="X275" s="174">
        <x:v>1</x:v>
      </x:c>
      <x:c r="Y275" s="174">
        <x:v>2</x:v>
      </x:c>
      <x:c r="Z275" s="174">
        <x:v>1</x:v>
      </x:c>
      <x:c r="AA275" s="174">
        <x:v>2</x:v>
      </x:c>
      <x:c r="AB275" s="174">
        <x:v>1</x:v>
      </x:c>
      <x:c r="AC275" s="174">
        <x:v>2</x:v>
      </x:c>
      <x:c r="AD275" s="175">
        <x:f t="shared" si="96"/>
        <x:v>0</x:v>
      </x:c>
      <x:c r="AE275" s="175">
        <x:f t="shared" si="96"/>
        <x:v>0</x:v>
      </x:c>
      <x:c r="AF275" s="175">
        <x:f t="shared" si="96"/>
        <x:v>0</x:v>
      </x:c>
      <x:c r="AG275" s="175">
        <x:f t="shared" si="96"/>
        <x:v>0</x:v>
      </x:c>
      <x:c r="AH275" s="175">
        <x:f t="shared" si="96"/>
        <x:v>0</x:v>
      </x:c>
      <x:c r="AI275" s="175">
        <x:f t="shared" si="96"/>
        <x:v>0</x:v>
      </x:c>
      <x:c r="AJ275" s="175">
        <x:f t="shared" si="96"/>
        <x:v>0</x:v>
      </x:c>
      <x:c r="AK275" s="175">
        <x:f t="shared" si="96"/>
        <x:v>0</x:v>
      </x:c>
      <x:c r="AL275" s="175">
        <x:f t="shared" si="96"/>
        <x:v>0</x:v>
      </x:c>
      <x:c r="AM275" s="175">
        <x:f t="shared" si="96"/>
        <x:v>0</x:v>
      </x:c>
      <x:c r="AN275" s="175">
        <x:f t="shared" si="96"/>
        <x:v>0</x:v>
      </x:c>
      <x:c r="AO275" s="176" t="str">
        <x:f t="shared" si="66"/>
        <x:v>0</x:v>
      </x:c>
      <x:c r="AP275" s="176" t="str">
        <x:f t="shared" si="67"/>
        <x:v>0</x:v>
      </x:c>
      <x:c r="AQ275" s="176" t="str">
        <x:f t="shared" si="68"/>
        <x:v>0</x:v>
      </x:c>
      <x:c r="AR275" s="176" t="str">
        <x:f t="shared" si="69"/>
        <x:v>0</x:v>
      </x:c>
      <x:c r="AS275" s="176" t="str">
        <x:f t="shared" si="70"/>
        <x:v>0</x:v>
      </x:c>
      <x:c r="AT275" s="176" t="str">
        <x:f t="shared" si="71"/>
        <x:v>0</x:v>
      </x:c>
      <x:c r="AU275" s="176" t="str">
        <x:f t="shared" si="72"/>
        <x:v>0</x:v>
      </x:c>
      <x:c r="AV275" s="176" t="str">
        <x:f t="shared" si="73"/>
        <x:v>0</x:v>
      </x:c>
      <x:c r="AW275" s="176" t="str">
        <x:f t="shared" si="74"/>
        <x:v>0</x:v>
      </x:c>
      <x:c r="AX275" s="176" t="str">
        <x:f t="shared" si="75"/>
        <x:v>0</x:v>
      </x:c>
      <x:c r="AY275" s="176" t="str">
        <x:f t="shared" si="76"/>
        <x:v>0</x:v>
      </x:c>
      <x:c r="AZ275" s="176" t="str">
        <x:f t="shared" si="77"/>
        <x:v>0</x:v>
      </x:c>
      <x:c r="BA275" s="176" t="str">
        <x:f t="shared" si="78"/>
        <x:v>0</x:v>
      </x:c>
      <x:c r="BB275" s="176" t="str">
        <x:f t="shared" si="79"/>
        <x:v>0</x:v>
      </x:c>
      <x:c r="BC275" s="176" t="str">
        <x:f t="shared" si="80"/>
        <x:v>0</x:v>
      </x:c>
      <x:c r="BD275" s="176" t="str">
        <x:f t="shared" si="81"/>
        <x:v>0</x:v>
      </x:c>
      <x:c r="BE275" s="176" t="str">
        <x:f t="shared" si="82"/>
        <x:v>0</x:v>
      </x:c>
      <x:c r="BF275" s="176" t="str">
        <x:f t="shared" si="83"/>
        <x:v>0</x:v>
      </x:c>
      <x:c r="BG275" s="176" t="str">
        <x:f t="shared" si="84"/>
        <x:v>0</x:v>
      </x:c>
      <x:c r="BH275" s="176" t="str">
        <x:f t="shared" si="85"/>
        <x:v>0</x:v>
      </x:c>
      <x:c r="BI275" s="176" t="str">
        <x:f t="shared" si="86"/>
        <x:v>0</x:v>
      </x:c>
      <x:c r="BJ275" s="176" t="str">
        <x:f t="shared" si="87"/>
        <x:v>0</x:v>
      </x:c>
      <x:c r="BK275" s="176"/>
      <x:c r="BL275" s="175">
        <x:f t="shared" si="88"/>
        <x:v>0</x:v>
      </x:c>
      <x:c r="BM275" s="177">
        <x:f t="shared" si="43"/>
        <x:v>0</x:v>
      </x:c>
      <x:c r="BN275" s="178">
        <x:f t="shared" si="89"/>
        <x:v>0</x:v>
      </x:c>
      <x:c r="BO275" s="179">
        <x:f t="shared" si="89"/>
        <x:v>0</x:v>
      </x:c>
    </x:row>
    <x:row r="276" s="162" customFormat="1" ht="19.899999618530273" hidden="1" customHeight="1">
      <x:c r="A276" s="170">
        <x:v>26</x:v>
      </x:c>
      <x:c r="B276" s="162" t="str">
        <x:f t="shared" ref="B276:C276" si="105">TEXT(B32,"00")</x:f>
      </x:c>
      <x:c r="C276" s="162" t="str">
        <x:f t="shared" si="105"/>
        <x:v>00</x:v>
      </x:c>
      <x:c r="D276" s="162" t="str">
        <x:f t="shared" si="5"/>
        <x:v>0000</x:v>
      </x:c>
      <x:c r="E276" s="162" t="str">
        <x:f t="shared" si="6"/>
        <x:v>000</x:v>
      </x:c>
      <x:c r="F276" s="171" t="str">
        <x:f t="shared" si="7"/>
        <x:v>0</x:v>
      </x:c>
      <x:c r="G276" s="172">
        <x:f t="shared" si="54"/>
        <x:v>0</x:v>
      </x:c>
      <x:c r="H276" s="173" t="str">
        <x:f t="shared" si="55"/>
        <x:v>0</x:v>
      </x:c>
      <x:c r="I276" s="173" t="str">
        <x:f t="shared" si="56"/>
        <x:v>0</x:v>
      </x:c>
      <x:c r="J276" s="173" t="str">
        <x:f t="shared" si="57"/>
        <x:v>0</x:v>
      </x:c>
      <x:c r="K276" s="173" t="str">
        <x:f t="shared" si="58"/>
        <x:v>0</x:v>
      </x:c>
      <x:c r="L276" s="173" t="str">
        <x:f t="shared" si="59"/>
        <x:v>0</x:v>
      </x:c>
      <x:c r="M276" s="173" t="str">
        <x:f t="shared" si="60"/>
        <x:v>0</x:v>
      </x:c>
      <x:c r="N276" s="173" t="str">
        <x:f t="shared" si="61"/>
        <x:v>0</x:v>
      </x:c>
      <x:c r="O276" s="173" t="str">
        <x:f t="shared" si="62"/>
        <x:v>0</x:v>
      </x:c>
      <x:c r="P276" s="173" t="str">
        <x:f t="shared" si="63"/>
        <x:v>0</x:v>
      </x:c>
      <x:c r="Q276" s="173" t="str">
        <x:f t="shared" si="64"/>
        <x:v>0</x:v>
      </x:c>
      <x:c r="R276" s="173" t="str">
        <x:f t="shared" si="65"/>
        <x:v>0</x:v>
      </x:c>
      <x:c r="S276" s="174">
        <x:v>2</x:v>
      </x:c>
      <x:c r="T276" s="174">
        <x:v>1</x:v>
      </x:c>
      <x:c r="U276" s="174">
        <x:v>2</x:v>
      </x:c>
      <x:c r="V276" s="174">
        <x:v>1</x:v>
      </x:c>
      <x:c r="W276" s="174">
        <x:v>2</x:v>
      </x:c>
      <x:c r="X276" s="174">
        <x:v>1</x:v>
      </x:c>
      <x:c r="Y276" s="174">
        <x:v>2</x:v>
      </x:c>
      <x:c r="Z276" s="174">
        <x:v>1</x:v>
      </x:c>
      <x:c r="AA276" s="174">
        <x:v>2</x:v>
      </x:c>
      <x:c r="AB276" s="174">
        <x:v>1</x:v>
      </x:c>
      <x:c r="AC276" s="174">
        <x:v>2</x:v>
      </x:c>
      <x:c r="AD276" s="175">
        <x:f t="shared" si="96"/>
        <x:v>0</x:v>
      </x:c>
      <x:c r="AE276" s="175">
        <x:f t="shared" si="96"/>
        <x:v>0</x:v>
      </x:c>
      <x:c r="AF276" s="175">
        <x:f t="shared" si="96"/>
        <x:v>0</x:v>
      </x:c>
      <x:c r="AG276" s="175">
        <x:f t="shared" si="96"/>
        <x:v>0</x:v>
      </x:c>
      <x:c r="AH276" s="175">
        <x:f t="shared" si="96"/>
        <x:v>0</x:v>
      </x:c>
      <x:c r="AI276" s="175">
        <x:f t="shared" si="96"/>
        <x:v>0</x:v>
      </x:c>
      <x:c r="AJ276" s="175">
        <x:f t="shared" si="96"/>
        <x:v>0</x:v>
      </x:c>
      <x:c r="AK276" s="175">
        <x:f t="shared" si="96"/>
        <x:v>0</x:v>
      </x:c>
      <x:c r="AL276" s="175">
        <x:f t="shared" si="96"/>
        <x:v>0</x:v>
      </x:c>
      <x:c r="AM276" s="175">
        <x:f t="shared" si="96"/>
        <x:v>0</x:v>
      </x:c>
      <x:c r="AN276" s="175">
        <x:f t="shared" si="96"/>
        <x:v>0</x:v>
      </x:c>
      <x:c r="AO276" s="176" t="str">
        <x:f t="shared" si="66"/>
        <x:v>0</x:v>
      </x:c>
      <x:c r="AP276" s="176" t="str">
        <x:f t="shared" si="67"/>
        <x:v>0</x:v>
      </x:c>
      <x:c r="AQ276" s="176" t="str">
        <x:f t="shared" si="68"/>
        <x:v>0</x:v>
      </x:c>
      <x:c r="AR276" s="176" t="str">
        <x:f t="shared" si="69"/>
        <x:v>0</x:v>
      </x:c>
      <x:c r="AS276" s="176" t="str">
        <x:f t="shared" si="70"/>
        <x:v>0</x:v>
      </x:c>
      <x:c r="AT276" s="176" t="str">
        <x:f t="shared" si="71"/>
        <x:v>0</x:v>
      </x:c>
      <x:c r="AU276" s="176" t="str">
        <x:f t="shared" si="72"/>
        <x:v>0</x:v>
      </x:c>
      <x:c r="AV276" s="176" t="str">
        <x:f t="shared" si="73"/>
        <x:v>0</x:v>
      </x:c>
      <x:c r="AW276" s="176" t="str">
        <x:f t="shared" si="74"/>
        <x:v>0</x:v>
      </x:c>
      <x:c r="AX276" s="176" t="str">
        <x:f t="shared" si="75"/>
        <x:v>0</x:v>
      </x:c>
      <x:c r="AY276" s="176" t="str">
        <x:f t="shared" si="76"/>
        <x:v>0</x:v>
      </x:c>
      <x:c r="AZ276" s="176" t="str">
        <x:f t="shared" si="77"/>
        <x:v>0</x:v>
      </x:c>
      <x:c r="BA276" s="176" t="str">
        <x:f t="shared" si="78"/>
        <x:v>0</x:v>
      </x:c>
      <x:c r="BB276" s="176" t="str">
        <x:f t="shared" si="79"/>
        <x:v>0</x:v>
      </x:c>
      <x:c r="BC276" s="176" t="str">
        <x:f t="shared" si="80"/>
        <x:v>0</x:v>
      </x:c>
      <x:c r="BD276" s="176" t="str">
        <x:f t="shared" si="81"/>
        <x:v>0</x:v>
      </x:c>
      <x:c r="BE276" s="176" t="str">
        <x:f t="shared" si="82"/>
        <x:v>0</x:v>
      </x:c>
      <x:c r="BF276" s="176" t="str">
        <x:f t="shared" si="83"/>
        <x:v>0</x:v>
      </x:c>
      <x:c r="BG276" s="176" t="str">
        <x:f t="shared" si="84"/>
        <x:v>0</x:v>
      </x:c>
      <x:c r="BH276" s="176" t="str">
        <x:f t="shared" si="85"/>
        <x:v>0</x:v>
      </x:c>
      <x:c r="BI276" s="176" t="str">
        <x:f t="shared" si="86"/>
        <x:v>0</x:v>
      </x:c>
      <x:c r="BJ276" s="176" t="str">
        <x:f t="shared" si="87"/>
        <x:v>0</x:v>
      </x:c>
      <x:c r="BK276" s="176"/>
      <x:c r="BL276" s="175">
        <x:f t="shared" si="88"/>
        <x:v>0</x:v>
      </x:c>
      <x:c r="BM276" s="177">
        <x:f t="shared" si="43"/>
        <x:v>0</x:v>
      </x:c>
      <x:c r="BN276" s="178">
        <x:f t="shared" si="89"/>
        <x:v>0</x:v>
      </x:c>
      <x:c r="BO276" s="179">
        <x:f t="shared" si="89"/>
        <x:v>0</x:v>
      </x:c>
    </x:row>
    <x:row r="277" s="162" customFormat="1" ht="19.899999618530273" hidden="1" customHeight="1">
      <x:c r="A277" s="170">
        <x:v>27</x:v>
      </x:c>
      <x:c r="B277" s="162" t="str">
        <x:f t="shared" ref="B277:C277" si="106">TEXT(B33,"00")</x:f>
      </x:c>
      <x:c r="C277" s="162" t="str">
        <x:f t="shared" si="106"/>
        <x:v>00</x:v>
      </x:c>
      <x:c r="D277" s="162" t="str">
        <x:f t="shared" si="5"/>
        <x:v>0000</x:v>
      </x:c>
      <x:c r="E277" s="162" t="str">
        <x:f t="shared" si="6"/>
        <x:v>000</x:v>
      </x:c>
      <x:c r="F277" s="171" t="str">
        <x:f t="shared" si="7"/>
        <x:v>0</x:v>
      </x:c>
      <x:c r="G277" s="172">
        <x:f t="shared" si="54"/>
        <x:v>0</x:v>
      </x:c>
      <x:c r="H277" s="173" t="str">
        <x:f t="shared" si="55"/>
        <x:v>0</x:v>
      </x:c>
      <x:c r="I277" s="173" t="str">
        <x:f t="shared" si="56"/>
        <x:v>0</x:v>
      </x:c>
      <x:c r="J277" s="173" t="str">
        <x:f t="shared" si="57"/>
        <x:v>0</x:v>
      </x:c>
      <x:c r="K277" s="173" t="str">
        <x:f t="shared" si="58"/>
        <x:v>0</x:v>
      </x:c>
      <x:c r="L277" s="173" t="str">
        <x:f t="shared" si="59"/>
        <x:v>0</x:v>
      </x:c>
      <x:c r="M277" s="173" t="str">
        <x:f t="shared" si="60"/>
        <x:v>0</x:v>
      </x:c>
      <x:c r="N277" s="173" t="str">
        <x:f t="shared" si="61"/>
        <x:v>0</x:v>
      </x:c>
      <x:c r="O277" s="173" t="str">
        <x:f t="shared" si="62"/>
        <x:v>0</x:v>
      </x:c>
      <x:c r="P277" s="173" t="str">
        <x:f t="shared" si="63"/>
        <x:v>0</x:v>
      </x:c>
      <x:c r="Q277" s="173" t="str">
        <x:f t="shared" si="64"/>
        <x:v>0</x:v>
      </x:c>
      <x:c r="R277" s="173" t="str">
        <x:f t="shared" si="65"/>
        <x:v>0</x:v>
      </x:c>
      <x:c r="S277" s="174">
        <x:v>2</x:v>
      </x:c>
      <x:c r="T277" s="174">
        <x:v>1</x:v>
      </x:c>
      <x:c r="U277" s="174">
        <x:v>2</x:v>
      </x:c>
      <x:c r="V277" s="174">
        <x:v>1</x:v>
      </x:c>
      <x:c r="W277" s="174">
        <x:v>2</x:v>
      </x:c>
      <x:c r="X277" s="174">
        <x:v>1</x:v>
      </x:c>
      <x:c r="Y277" s="174">
        <x:v>2</x:v>
      </x:c>
      <x:c r="Z277" s="174">
        <x:v>1</x:v>
      </x:c>
      <x:c r="AA277" s="174">
        <x:v>2</x:v>
      </x:c>
      <x:c r="AB277" s="174">
        <x:v>1</x:v>
      </x:c>
      <x:c r="AC277" s="174">
        <x:v>2</x:v>
      </x:c>
      <x:c r="AD277" s="175">
        <x:f t="shared" si="96"/>
        <x:v>0</x:v>
      </x:c>
      <x:c r="AE277" s="175">
        <x:f t="shared" si="96"/>
        <x:v>0</x:v>
      </x:c>
      <x:c r="AF277" s="175">
        <x:f t="shared" si="96"/>
        <x:v>0</x:v>
      </x:c>
      <x:c r="AG277" s="175">
        <x:f t="shared" si="96"/>
        <x:v>0</x:v>
      </x:c>
      <x:c r="AH277" s="175">
        <x:f t="shared" si="96"/>
        <x:v>0</x:v>
      </x:c>
      <x:c r="AI277" s="175">
        <x:f t="shared" si="96"/>
        <x:v>0</x:v>
      </x:c>
      <x:c r="AJ277" s="175">
        <x:f t="shared" si="96"/>
        <x:v>0</x:v>
      </x:c>
      <x:c r="AK277" s="175">
        <x:f t="shared" si="96"/>
        <x:v>0</x:v>
      </x:c>
      <x:c r="AL277" s="175">
        <x:f t="shared" si="96"/>
        <x:v>0</x:v>
      </x:c>
      <x:c r="AM277" s="175">
        <x:f t="shared" si="96"/>
        <x:v>0</x:v>
      </x:c>
      <x:c r="AN277" s="175">
        <x:f t="shared" si="96"/>
        <x:v>0</x:v>
      </x:c>
      <x:c r="AO277" s="176" t="str">
        <x:f t="shared" si="66"/>
        <x:v>0</x:v>
      </x:c>
      <x:c r="AP277" s="176" t="str">
        <x:f t="shared" si="67"/>
        <x:v>0</x:v>
      </x:c>
      <x:c r="AQ277" s="176" t="str">
        <x:f t="shared" si="68"/>
        <x:v>0</x:v>
      </x:c>
      <x:c r="AR277" s="176" t="str">
        <x:f t="shared" si="69"/>
        <x:v>0</x:v>
      </x:c>
      <x:c r="AS277" s="176" t="str">
        <x:f t="shared" si="70"/>
        <x:v>0</x:v>
      </x:c>
      <x:c r="AT277" s="176" t="str">
        <x:f t="shared" si="71"/>
        <x:v>0</x:v>
      </x:c>
      <x:c r="AU277" s="176" t="str">
        <x:f t="shared" si="72"/>
        <x:v>0</x:v>
      </x:c>
      <x:c r="AV277" s="176" t="str">
        <x:f t="shared" si="73"/>
        <x:v>0</x:v>
      </x:c>
      <x:c r="AW277" s="176" t="str">
        <x:f t="shared" si="74"/>
        <x:v>0</x:v>
      </x:c>
      <x:c r="AX277" s="176" t="str">
        <x:f t="shared" si="75"/>
        <x:v>0</x:v>
      </x:c>
      <x:c r="AY277" s="176" t="str">
        <x:f t="shared" si="76"/>
        <x:v>0</x:v>
      </x:c>
      <x:c r="AZ277" s="176" t="str">
        <x:f t="shared" si="77"/>
        <x:v>0</x:v>
      </x:c>
      <x:c r="BA277" s="176" t="str">
        <x:f t="shared" si="78"/>
        <x:v>0</x:v>
      </x:c>
      <x:c r="BB277" s="176" t="str">
        <x:f t="shared" si="79"/>
        <x:v>0</x:v>
      </x:c>
      <x:c r="BC277" s="176" t="str">
        <x:f t="shared" si="80"/>
        <x:v>0</x:v>
      </x:c>
      <x:c r="BD277" s="176" t="str">
        <x:f t="shared" si="81"/>
        <x:v>0</x:v>
      </x:c>
      <x:c r="BE277" s="176" t="str">
        <x:f t="shared" si="82"/>
        <x:v>0</x:v>
      </x:c>
      <x:c r="BF277" s="176" t="str">
        <x:f t="shared" si="83"/>
        <x:v>0</x:v>
      </x:c>
      <x:c r="BG277" s="176" t="str">
        <x:f t="shared" si="84"/>
        <x:v>0</x:v>
      </x:c>
      <x:c r="BH277" s="176" t="str">
        <x:f t="shared" si="85"/>
        <x:v>0</x:v>
      </x:c>
      <x:c r="BI277" s="176" t="str">
        <x:f t="shared" si="86"/>
        <x:v>0</x:v>
      </x:c>
      <x:c r="BJ277" s="176" t="str">
        <x:f t="shared" si="87"/>
        <x:v>0</x:v>
      </x:c>
      <x:c r="BK277" s="176"/>
      <x:c r="BL277" s="175">
        <x:f t="shared" si="88"/>
        <x:v>0</x:v>
      </x:c>
      <x:c r="BM277" s="177">
        <x:f t="shared" si="43"/>
        <x:v>0</x:v>
      </x:c>
      <x:c r="BN277" s="178">
        <x:f t="shared" si="89"/>
        <x:v>0</x:v>
      </x:c>
      <x:c r="BO277" s="179">
        <x:f t="shared" si="89"/>
        <x:v>0</x:v>
      </x:c>
    </x:row>
    <x:row r="278" s="162" customFormat="1" ht="19.899999618530273" hidden="1" customHeight="1">
      <x:c r="A278" s="170">
        <x:v>28</x:v>
      </x:c>
      <x:c r="B278" s="162" t="str">
        <x:f t="shared" ref="B278:C278" si="107">TEXT(B34,"00")</x:f>
      </x:c>
      <x:c r="C278" s="162" t="str">
        <x:f t="shared" si="107"/>
        <x:v>00</x:v>
      </x:c>
      <x:c r="D278" s="162" t="str">
        <x:f t="shared" si="5"/>
        <x:v>0000</x:v>
      </x:c>
      <x:c r="E278" s="162" t="str">
        <x:f t="shared" si="6"/>
        <x:v>000</x:v>
      </x:c>
      <x:c r="F278" s="171" t="str">
        <x:f t="shared" si="7"/>
        <x:v>0</x:v>
      </x:c>
      <x:c r="G278" s="172">
        <x:f t="shared" si="54"/>
        <x:v>0</x:v>
      </x:c>
      <x:c r="H278" s="173" t="str">
        <x:f t="shared" si="55"/>
        <x:v>0</x:v>
      </x:c>
      <x:c r="I278" s="173" t="str">
        <x:f t="shared" si="56"/>
        <x:v>0</x:v>
      </x:c>
      <x:c r="J278" s="173" t="str">
        <x:f t="shared" si="57"/>
        <x:v>0</x:v>
      </x:c>
      <x:c r="K278" s="173" t="str">
        <x:f t="shared" si="58"/>
        <x:v>0</x:v>
      </x:c>
      <x:c r="L278" s="173" t="str">
        <x:f t="shared" si="59"/>
        <x:v>0</x:v>
      </x:c>
      <x:c r="M278" s="173" t="str">
        <x:f t="shared" si="60"/>
        <x:v>0</x:v>
      </x:c>
      <x:c r="N278" s="173" t="str">
        <x:f t="shared" si="61"/>
        <x:v>0</x:v>
      </x:c>
      <x:c r="O278" s="173" t="str">
        <x:f t="shared" si="62"/>
        <x:v>0</x:v>
      </x:c>
      <x:c r="P278" s="173" t="str">
        <x:f t="shared" si="63"/>
        <x:v>0</x:v>
      </x:c>
      <x:c r="Q278" s="173" t="str">
        <x:f t="shared" si="64"/>
        <x:v>0</x:v>
      </x:c>
      <x:c r="R278" s="173" t="str">
        <x:f t="shared" si="65"/>
        <x:v>0</x:v>
      </x:c>
      <x:c r="S278" s="174">
        <x:v>2</x:v>
      </x:c>
      <x:c r="T278" s="174">
        <x:v>1</x:v>
      </x:c>
      <x:c r="U278" s="174">
        <x:v>2</x:v>
      </x:c>
      <x:c r="V278" s="174">
        <x:v>1</x:v>
      </x:c>
      <x:c r="W278" s="174">
        <x:v>2</x:v>
      </x:c>
      <x:c r="X278" s="174">
        <x:v>1</x:v>
      </x:c>
      <x:c r="Y278" s="174">
        <x:v>2</x:v>
      </x:c>
      <x:c r="Z278" s="174">
        <x:v>1</x:v>
      </x:c>
      <x:c r="AA278" s="174">
        <x:v>2</x:v>
      </x:c>
      <x:c r="AB278" s="174">
        <x:v>1</x:v>
      </x:c>
      <x:c r="AC278" s="174">
        <x:v>2</x:v>
      </x:c>
      <x:c r="AD278" s="175">
        <x:f t="shared" si="96"/>
        <x:v>0</x:v>
      </x:c>
      <x:c r="AE278" s="175">
        <x:f t="shared" si="96"/>
        <x:v>0</x:v>
      </x:c>
      <x:c r="AF278" s="175">
        <x:f t="shared" si="96"/>
        <x:v>0</x:v>
      </x:c>
      <x:c r="AG278" s="175">
        <x:f t="shared" si="96"/>
        <x:v>0</x:v>
      </x:c>
      <x:c r="AH278" s="175">
        <x:f t="shared" si="96"/>
        <x:v>0</x:v>
      </x:c>
      <x:c r="AI278" s="175">
        <x:f t="shared" si="96"/>
        <x:v>0</x:v>
      </x:c>
      <x:c r="AJ278" s="175">
        <x:f t="shared" si="96"/>
        <x:v>0</x:v>
      </x:c>
      <x:c r="AK278" s="175">
        <x:f t="shared" si="96"/>
        <x:v>0</x:v>
      </x:c>
      <x:c r="AL278" s="175">
        <x:f t="shared" si="96"/>
        <x:v>0</x:v>
      </x:c>
      <x:c r="AM278" s="175">
        <x:f t="shared" si="96"/>
        <x:v>0</x:v>
      </x:c>
      <x:c r="AN278" s="175">
        <x:f t="shared" si="96"/>
        <x:v>0</x:v>
      </x:c>
      <x:c r="AO278" s="176" t="str">
        <x:f t="shared" si="66"/>
        <x:v>0</x:v>
      </x:c>
      <x:c r="AP278" s="176" t="str">
        <x:f t="shared" si="67"/>
        <x:v>0</x:v>
      </x:c>
      <x:c r="AQ278" s="176" t="str">
        <x:f t="shared" si="68"/>
        <x:v>0</x:v>
      </x:c>
      <x:c r="AR278" s="176" t="str">
        <x:f t="shared" si="69"/>
        <x:v>0</x:v>
      </x:c>
      <x:c r="AS278" s="176" t="str">
        <x:f t="shared" si="70"/>
        <x:v>0</x:v>
      </x:c>
      <x:c r="AT278" s="176" t="str">
        <x:f t="shared" si="71"/>
        <x:v>0</x:v>
      </x:c>
      <x:c r="AU278" s="176" t="str">
        <x:f t="shared" si="72"/>
        <x:v>0</x:v>
      </x:c>
      <x:c r="AV278" s="176" t="str">
        <x:f t="shared" si="73"/>
        <x:v>0</x:v>
      </x:c>
      <x:c r="AW278" s="176" t="str">
        <x:f t="shared" si="74"/>
        <x:v>0</x:v>
      </x:c>
      <x:c r="AX278" s="176" t="str">
        <x:f t="shared" si="75"/>
        <x:v>0</x:v>
      </x:c>
      <x:c r="AY278" s="176" t="str">
        <x:f t="shared" si="76"/>
        <x:v>0</x:v>
      </x:c>
      <x:c r="AZ278" s="176" t="str">
        <x:f t="shared" si="77"/>
        <x:v>0</x:v>
      </x:c>
      <x:c r="BA278" s="176" t="str">
        <x:f t="shared" si="78"/>
        <x:v>0</x:v>
      </x:c>
      <x:c r="BB278" s="176" t="str">
        <x:f t="shared" si="79"/>
        <x:v>0</x:v>
      </x:c>
      <x:c r="BC278" s="176" t="str">
        <x:f t="shared" si="80"/>
        <x:v>0</x:v>
      </x:c>
      <x:c r="BD278" s="176" t="str">
        <x:f t="shared" si="81"/>
        <x:v>0</x:v>
      </x:c>
      <x:c r="BE278" s="176" t="str">
        <x:f t="shared" si="82"/>
        <x:v>0</x:v>
      </x:c>
      <x:c r="BF278" s="176" t="str">
        <x:f t="shared" si="83"/>
        <x:v>0</x:v>
      </x:c>
      <x:c r="BG278" s="176" t="str">
        <x:f t="shared" si="84"/>
        <x:v>0</x:v>
      </x:c>
      <x:c r="BH278" s="176" t="str">
        <x:f t="shared" si="85"/>
        <x:v>0</x:v>
      </x:c>
      <x:c r="BI278" s="176" t="str">
        <x:f t="shared" si="86"/>
        <x:v>0</x:v>
      </x:c>
      <x:c r="BJ278" s="176" t="str">
        <x:f t="shared" si="87"/>
        <x:v>0</x:v>
      </x:c>
      <x:c r="BK278" s="176"/>
      <x:c r="BL278" s="175">
        <x:f t="shared" si="88"/>
        <x:v>0</x:v>
      </x:c>
      <x:c r="BM278" s="177">
        <x:f t="shared" si="43"/>
        <x:v>0</x:v>
      </x:c>
      <x:c r="BN278" s="178" t="n">
        <x:f t="shared" ref="BN278:BO290" si="108">BM278-BL278</x:f>
        <x:v>0</x:v>
      </x:c>
      <x:c r="BO278" s="179">
        <x:f t="shared" si="108"/>
        <x:v>0</x:v>
      </x:c>
    </x:row>
    <x:row r="279" s="162" customFormat="1" ht="19.899999618530273" hidden="1" customHeight="1">
      <x:c r="A279" s="170">
        <x:v>29</x:v>
      </x:c>
      <x:c r="B279" s="162" t="str">
        <x:f t="shared" ref="B279:C279" si="109">TEXT(B35,"00")</x:f>
      </x:c>
      <x:c r="C279" s="162" t="str">
        <x:f t="shared" si="109"/>
        <x:v>00</x:v>
      </x:c>
      <x:c r="D279" s="162" t="str">
        <x:f t="shared" si="5"/>
        <x:v>0000</x:v>
      </x:c>
      <x:c r="E279" s="162" t="str">
        <x:f t="shared" si="6"/>
        <x:v>000</x:v>
      </x:c>
      <x:c r="F279" s="171" t="str">
        <x:f t="shared" si="7"/>
        <x:v>0</x:v>
      </x:c>
      <x:c r="G279" s="172">
        <x:f t="shared" si="54"/>
        <x:v>0</x:v>
      </x:c>
      <x:c r="H279" s="173" t="str">
        <x:f t="shared" si="55"/>
        <x:v>0</x:v>
      </x:c>
      <x:c r="I279" s="173" t="str">
        <x:f t="shared" si="56"/>
        <x:v>0</x:v>
      </x:c>
      <x:c r="J279" s="173" t="str">
        <x:f t="shared" si="57"/>
        <x:v>0</x:v>
      </x:c>
      <x:c r="K279" s="173" t="str">
        <x:f t="shared" si="58"/>
        <x:v>0</x:v>
      </x:c>
      <x:c r="L279" s="173" t="str">
        <x:f t="shared" si="59"/>
        <x:v>0</x:v>
      </x:c>
      <x:c r="M279" s="173" t="str">
        <x:f t="shared" si="60"/>
        <x:v>0</x:v>
      </x:c>
      <x:c r="N279" s="173" t="str">
        <x:f t="shared" si="61"/>
        <x:v>0</x:v>
      </x:c>
      <x:c r="O279" s="173" t="str">
        <x:f t="shared" si="62"/>
        <x:v>0</x:v>
      </x:c>
      <x:c r="P279" s="173" t="str">
        <x:f t="shared" si="63"/>
        <x:v>0</x:v>
      </x:c>
      <x:c r="Q279" s="173" t="str">
        <x:f t="shared" si="64"/>
        <x:v>0</x:v>
      </x:c>
      <x:c r="R279" s="173" t="str">
        <x:f t="shared" si="65"/>
        <x:v>0</x:v>
      </x:c>
      <x:c r="S279" s="174">
        <x:v>2</x:v>
      </x:c>
      <x:c r="T279" s="174">
        <x:v>1</x:v>
      </x:c>
      <x:c r="U279" s="174">
        <x:v>2</x:v>
      </x:c>
      <x:c r="V279" s="174">
        <x:v>1</x:v>
      </x:c>
      <x:c r="W279" s="174">
        <x:v>2</x:v>
      </x:c>
      <x:c r="X279" s="174">
        <x:v>1</x:v>
      </x:c>
      <x:c r="Y279" s="174">
        <x:v>2</x:v>
      </x:c>
      <x:c r="Z279" s="174">
        <x:v>1</x:v>
      </x:c>
      <x:c r="AA279" s="174">
        <x:v>2</x:v>
      </x:c>
      <x:c r="AB279" s="174">
        <x:v>1</x:v>
      </x:c>
      <x:c r="AC279" s="174">
        <x:v>2</x:v>
      </x:c>
      <x:c r="AD279" s="175">
        <x:f t="shared" si="96"/>
        <x:v>0</x:v>
      </x:c>
      <x:c r="AE279" s="175">
        <x:f t="shared" si="96"/>
        <x:v>0</x:v>
      </x:c>
      <x:c r="AF279" s="175">
        <x:f t="shared" si="96"/>
        <x:v>0</x:v>
      </x:c>
      <x:c r="AG279" s="175">
        <x:f t="shared" si="96"/>
        <x:v>0</x:v>
      </x:c>
      <x:c r="AH279" s="175">
        <x:f t="shared" si="96"/>
        <x:v>0</x:v>
      </x:c>
      <x:c r="AI279" s="175">
        <x:f t="shared" si="96"/>
        <x:v>0</x:v>
      </x:c>
      <x:c r="AJ279" s="175">
        <x:f t="shared" si="96"/>
        <x:v>0</x:v>
      </x:c>
      <x:c r="AK279" s="175">
        <x:f t="shared" si="96"/>
        <x:v>0</x:v>
      </x:c>
      <x:c r="AL279" s="175">
        <x:f t="shared" si="96"/>
        <x:v>0</x:v>
      </x:c>
      <x:c r="AM279" s="175">
        <x:f t="shared" si="96"/>
        <x:v>0</x:v>
      </x:c>
      <x:c r="AN279" s="175">
        <x:f t="shared" si="96"/>
        <x:v>0</x:v>
      </x:c>
      <x:c r="AO279" s="176" t="str">
        <x:f t="shared" si="66"/>
        <x:v>0</x:v>
      </x:c>
      <x:c r="AP279" s="176" t="str">
        <x:f t="shared" si="67"/>
        <x:v>0</x:v>
      </x:c>
      <x:c r="AQ279" s="176" t="str">
        <x:f t="shared" si="68"/>
        <x:v>0</x:v>
      </x:c>
      <x:c r="AR279" s="176" t="str">
        <x:f t="shared" si="69"/>
        <x:v>0</x:v>
      </x:c>
      <x:c r="AS279" s="176" t="str">
        <x:f t="shared" si="70"/>
        <x:v>0</x:v>
      </x:c>
      <x:c r="AT279" s="176" t="str">
        <x:f t="shared" si="71"/>
        <x:v>0</x:v>
      </x:c>
      <x:c r="AU279" s="176" t="str">
        <x:f t="shared" si="72"/>
        <x:v>0</x:v>
      </x:c>
      <x:c r="AV279" s="176" t="str">
        <x:f t="shared" si="73"/>
        <x:v>0</x:v>
      </x:c>
      <x:c r="AW279" s="176" t="str">
        <x:f t="shared" si="74"/>
        <x:v>0</x:v>
      </x:c>
      <x:c r="AX279" s="176" t="str">
        <x:f t="shared" si="75"/>
        <x:v>0</x:v>
      </x:c>
      <x:c r="AY279" s="176" t="str">
        <x:f t="shared" si="76"/>
        <x:v>0</x:v>
      </x:c>
      <x:c r="AZ279" s="176" t="str">
        <x:f t="shared" si="77"/>
        <x:v>0</x:v>
      </x:c>
      <x:c r="BA279" s="176" t="str">
        <x:f t="shared" si="78"/>
        <x:v>0</x:v>
      </x:c>
      <x:c r="BB279" s="176" t="str">
        <x:f t="shared" si="79"/>
        <x:v>0</x:v>
      </x:c>
      <x:c r="BC279" s="176" t="str">
        <x:f t="shared" si="80"/>
        <x:v>0</x:v>
      </x:c>
      <x:c r="BD279" s="176" t="str">
        <x:f t="shared" si="81"/>
        <x:v>0</x:v>
      </x:c>
      <x:c r="BE279" s="176" t="str">
        <x:f t="shared" si="82"/>
        <x:v>0</x:v>
      </x:c>
      <x:c r="BF279" s="176" t="str">
        <x:f t="shared" si="83"/>
        <x:v>0</x:v>
      </x:c>
      <x:c r="BG279" s="176" t="str">
        <x:f t="shared" si="84"/>
        <x:v>0</x:v>
      </x:c>
      <x:c r="BH279" s="176" t="str">
        <x:f t="shared" si="85"/>
        <x:v>0</x:v>
      </x:c>
      <x:c r="BI279" s="176" t="str">
        <x:f t="shared" si="86"/>
        <x:v>0</x:v>
      </x:c>
      <x:c r="BJ279" s="176" t="str">
        <x:f t="shared" si="87"/>
        <x:v>0</x:v>
      </x:c>
      <x:c r="BK279" s="176"/>
      <x:c r="BL279" s="175">
        <x:f t="shared" si="88"/>
        <x:v>0</x:v>
      </x:c>
      <x:c r="BM279" s="177">
        <x:f t="shared" si="43"/>
        <x:v>0</x:v>
      </x:c>
      <x:c r="BN279" s="178">
        <x:f t="shared" si="108"/>
        <x:v>0</x:v>
      </x:c>
      <x:c r="BO279" s="179">
        <x:f t="shared" si="108"/>
        <x:v>0</x:v>
      </x:c>
    </x:row>
    <x:row r="280" s="162" customFormat="1" ht="19.899999618530273" hidden="1" customHeight="1">
      <x:c r="A280" s="170">
        <x:v>30</x:v>
      </x:c>
      <x:c r="B280" s="162" t="str">
        <x:f t="shared" ref="B280:C280" si="110">TEXT(B36,"00")</x:f>
      </x:c>
      <x:c r="C280" s="162" t="str">
        <x:f t="shared" si="110"/>
        <x:v>00</x:v>
      </x:c>
      <x:c r="D280" s="162" t="str">
        <x:f t="shared" si="5"/>
        <x:v>0000</x:v>
      </x:c>
      <x:c r="E280" s="162" t="str">
        <x:f t="shared" si="6"/>
        <x:v>000</x:v>
      </x:c>
      <x:c r="F280" s="171" t="str">
        <x:f t="shared" si="7"/>
        <x:v>0</x:v>
      </x:c>
      <x:c r="G280" s="172">
        <x:f t="shared" si="54"/>
        <x:v>0</x:v>
      </x:c>
      <x:c r="H280" s="173" t="str">
        <x:f t="shared" si="55"/>
        <x:v>0</x:v>
      </x:c>
      <x:c r="I280" s="173" t="str">
        <x:f t="shared" si="56"/>
        <x:v>0</x:v>
      </x:c>
      <x:c r="J280" s="173" t="str">
        <x:f t="shared" si="57"/>
        <x:v>0</x:v>
      </x:c>
      <x:c r="K280" s="173" t="str">
        <x:f t="shared" si="58"/>
        <x:v>0</x:v>
      </x:c>
      <x:c r="L280" s="173" t="str">
        <x:f t="shared" si="59"/>
        <x:v>0</x:v>
      </x:c>
      <x:c r="M280" s="173" t="str">
        <x:f t="shared" si="60"/>
        <x:v>0</x:v>
      </x:c>
      <x:c r="N280" s="173" t="str">
        <x:f t="shared" si="61"/>
        <x:v>0</x:v>
      </x:c>
      <x:c r="O280" s="173" t="str">
        <x:f t="shared" si="62"/>
        <x:v>0</x:v>
      </x:c>
      <x:c r="P280" s="173" t="str">
        <x:f t="shared" si="63"/>
        <x:v>0</x:v>
      </x:c>
      <x:c r="Q280" s="173" t="str">
        <x:f t="shared" si="64"/>
        <x:v>0</x:v>
      </x:c>
      <x:c r="R280" s="173" t="str">
        <x:f t="shared" si="65"/>
        <x:v>0</x:v>
      </x:c>
      <x:c r="S280" s="174">
        <x:v>2</x:v>
      </x:c>
      <x:c r="T280" s="174">
        <x:v>1</x:v>
      </x:c>
      <x:c r="U280" s="174">
        <x:v>2</x:v>
      </x:c>
      <x:c r="V280" s="174">
        <x:v>1</x:v>
      </x:c>
      <x:c r="W280" s="174">
        <x:v>2</x:v>
      </x:c>
      <x:c r="X280" s="174">
        <x:v>1</x:v>
      </x:c>
      <x:c r="Y280" s="174">
        <x:v>2</x:v>
      </x:c>
      <x:c r="Z280" s="174">
        <x:v>1</x:v>
      </x:c>
      <x:c r="AA280" s="174">
        <x:v>2</x:v>
      </x:c>
      <x:c r="AB280" s="174">
        <x:v>1</x:v>
      </x:c>
      <x:c r="AC280" s="174">
        <x:v>2</x:v>
      </x:c>
      <x:c r="AD280" s="175">
        <x:f t="shared" si="96"/>
        <x:v>0</x:v>
      </x:c>
      <x:c r="AE280" s="175">
        <x:f t="shared" si="96"/>
        <x:v>0</x:v>
      </x:c>
      <x:c r="AF280" s="175">
        <x:f t="shared" si="96"/>
        <x:v>0</x:v>
      </x:c>
      <x:c r="AG280" s="175">
        <x:f t="shared" si="96"/>
        <x:v>0</x:v>
      </x:c>
      <x:c r="AH280" s="175">
        <x:f t="shared" si="96"/>
        <x:v>0</x:v>
      </x:c>
      <x:c r="AI280" s="175">
        <x:f t="shared" si="96"/>
        <x:v>0</x:v>
      </x:c>
      <x:c r="AJ280" s="175">
        <x:f t="shared" si="96"/>
        <x:v>0</x:v>
      </x:c>
      <x:c r="AK280" s="175">
        <x:f t="shared" si="96"/>
        <x:v>0</x:v>
      </x:c>
      <x:c r="AL280" s="175">
        <x:f t="shared" si="96"/>
        <x:v>0</x:v>
      </x:c>
      <x:c r="AM280" s="175">
        <x:f t="shared" si="96"/>
        <x:v>0</x:v>
      </x:c>
      <x:c r="AN280" s="175">
        <x:f t="shared" si="96"/>
        <x:v>0</x:v>
      </x:c>
      <x:c r="AO280" s="176" t="str">
        <x:f t="shared" si="66"/>
        <x:v>0</x:v>
      </x:c>
      <x:c r="AP280" s="176" t="str">
        <x:f t="shared" si="67"/>
        <x:v>0</x:v>
      </x:c>
      <x:c r="AQ280" s="176" t="str">
        <x:f t="shared" si="68"/>
        <x:v>0</x:v>
      </x:c>
      <x:c r="AR280" s="176" t="str">
        <x:f t="shared" si="69"/>
        <x:v>0</x:v>
      </x:c>
      <x:c r="AS280" s="176" t="str">
        <x:f t="shared" si="70"/>
        <x:v>0</x:v>
      </x:c>
      <x:c r="AT280" s="176" t="str">
        <x:f t="shared" si="71"/>
        <x:v>0</x:v>
      </x:c>
      <x:c r="AU280" s="176" t="str">
        <x:f t="shared" si="72"/>
        <x:v>0</x:v>
      </x:c>
      <x:c r="AV280" s="176" t="str">
        <x:f t="shared" si="73"/>
        <x:v>0</x:v>
      </x:c>
      <x:c r="AW280" s="176" t="str">
        <x:f t="shared" si="74"/>
        <x:v>0</x:v>
      </x:c>
      <x:c r="AX280" s="176" t="str">
        <x:f t="shared" si="75"/>
        <x:v>0</x:v>
      </x:c>
      <x:c r="AY280" s="176" t="str">
        <x:f t="shared" si="76"/>
        <x:v>0</x:v>
      </x:c>
      <x:c r="AZ280" s="176" t="str">
        <x:f t="shared" si="77"/>
        <x:v>0</x:v>
      </x:c>
      <x:c r="BA280" s="176" t="str">
        <x:f t="shared" si="78"/>
        <x:v>0</x:v>
      </x:c>
      <x:c r="BB280" s="176" t="str">
        <x:f t="shared" si="79"/>
        <x:v>0</x:v>
      </x:c>
      <x:c r="BC280" s="176" t="str">
        <x:f t="shared" si="80"/>
        <x:v>0</x:v>
      </x:c>
      <x:c r="BD280" s="176" t="str">
        <x:f t="shared" si="81"/>
        <x:v>0</x:v>
      </x:c>
      <x:c r="BE280" s="176" t="str">
        <x:f t="shared" si="82"/>
        <x:v>0</x:v>
      </x:c>
      <x:c r="BF280" s="176" t="str">
        <x:f t="shared" si="83"/>
        <x:v>0</x:v>
      </x:c>
      <x:c r="BG280" s="176" t="str">
        <x:f t="shared" si="84"/>
        <x:v>0</x:v>
      </x:c>
      <x:c r="BH280" s="176" t="str">
        <x:f t="shared" si="85"/>
        <x:v>0</x:v>
      </x:c>
      <x:c r="BI280" s="176" t="str">
        <x:f t="shared" si="86"/>
        <x:v>0</x:v>
      </x:c>
      <x:c r="BJ280" s="176" t="str">
        <x:f t="shared" si="87"/>
        <x:v>0</x:v>
      </x:c>
      <x:c r="BK280" s="176"/>
      <x:c r="BL280" s="175">
        <x:f t="shared" si="88"/>
        <x:v>0</x:v>
      </x:c>
      <x:c r="BM280" s="177">
        <x:f t="shared" si="43"/>
        <x:v>0</x:v>
      </x:c>
      <x:c r="BN280" s="178">
        <x:f t="shared" si="108"/>
        <x:v>0</x:v>
      </x:c>
      <x:c r="BO280" s="179">
        <x:f t="shared" si="108"/>
        <x:v>0</x:v>
      </x:c>
    </x:row>
    <x:row r="281" s="162" customFormat="1" ht="19.899999618530273" hidden="1" customHeight="1">
      <x:c r="A281" s="170">
        <x:v>31</x:v>
      </x:c>
      <x:c r="B281" s="162" t="str">
        <x:f t="shared" ref="B281:C281" si="111">TEXT(B37,"00")</x:f>
      </x:c>
      <x:c r="C281" s="162" t="str">
        <x:f t="shared" si="111"/>
        <x:v>00</x:v>
      </x:c>
      <x:c r="D281" s="162" t="str">
        <x:f t="shared" si="5"/>
        <x:v>0000</x:v>
      </x:c>
      <x:c r="E281" s="162" t="str">
        <x:f t="shared" si="6"/>
        <x:v>000</x:v>
      </x:c>
      <x:c r="F281" s="171" t="str">
        <x:f t="shared" si="7"/>
        <x:v>0</x:v>
      </x:c>
      <x:c r="G281" s="172">
        <x:f t="shared" si="54"/>
        <x:v>0</x:v>
      </x:c>
      <x:c r="H281" s="173" t="str">
        <x:f t="shared" si="55"/>
        <x:v>0</x:v>
      </x:c>
      <x:c r="I281" s="173" t="str">
        <x:f t="shared" si="56"/>
        <x:v>0</x:v>
      </x:c>
      <x:c r="J281" s="173" t="str">
        <x:f t="shared" si="57"/>
        <x:v>0</x:v>
      </x:c>
      <x:c r="K281" s="173" t="str">
        <x:f t="shared" si="58"/>
        <x:v>0</x:v>
      </x:c>
      <x:c r="L281" s="173" t="str">
        <x:f t="shared" si="59"/>
        <x:v>0</x:v>
      </x:c>
      <x:c r="M281" s="173" t="str">
        <x:f t="shared" si="60"/>
        <x:v>0</x:v>
      </x:c>
      <x:c r="N281" s="173" t="str">
        <x:f t="shared" si="61"/>
        <x:v>0</x:v>
      </x:c>
      <x:c r="O281" s="173" t="str">
        <x:f t="shared" si="62"/>
        <x:v>0</x:v>
      </x:c>
      <x:c r="P281" s="173" t="str">
        <x:f t="shared" si="63"/>
        <x:v>0</x:v>
      </x:c>
      <x:c r="Q281" s="173" t="str">
        <x:f t="shared" si="64"/>
        <x:v>0</x:v>
      </x:c>
      <x:c r="R281" s="173" t="str">
        <x:f t="shared" si="65"/>
        <x:v>0</x:v>
      </x:c>
      <x:c r="S281" s="174">
        <x:v>2</x:v>
      </x:c>
      <x:c r="T281" s="174">
        <x:v>1</x:v>
      </x:c>
      <x:c r="U281" s="174">
        <x:v>2</x:v>
      </x:c>
      <x:c r="V281" s="174">
        <x:v>1</x:v>
      </x:c>
      <x:c r="W281" s="174">
        <x:v>2</x:v>
      </x:c>
      <x:c r="X281" s="174">
        <x:v>1</x:v>
      </x:c>
      <x:c r="Y281" s="174">
        <x:v>2</x:v>
      </x:c>
      <x:c r="Z281" s="174">
        <x:v>1</x:v>
      </x:c>
      <x:c r="AA281" s="174">
        <x:v>2</x:v>
      </x:c>
      <x:c r="AB281" s="174">
        <x:v>1</x:v>
      </x:c>
      <x:c r="AC281" s="174">
        <x:v>2</x:v>
      </x:c>
      <x:c r="AD281" s="175">
        <x:f t="shared" si="96"/>
        <x:v>0</x:v>
      </x:c>
      <x:c r="AE281" s="175">
        <x:f t="shared" si="96"/>
        <x:v>0</x:v>
      </x:c>
      <x:c r="AF281" s="175">
        <x:f t="shared" si="96"/>
        <x:v>0</x:v>
      </x:c>
      <x:c r="AG281" s="175">
        <x:f t="shared" si="96"/>
        <x:v>0</x:v>
      </x:c>
      <x:c r="AH281" s="175">
        <x:f t="shared" si="96"/>
        <x:v>0</x:v>
      </x:c>
      <x:c r="AI281" s="175">
        <x:f t="shared" si="96"/>
        <x:v>0</x:v>
      </x:c>
      <x:c r="AJ281" s="175">
        <x:f t="shared" si="96"/>
        <x:v>0</x:v>
      </x:c>
      <x:c r="AK281" s="175">
        <x:f t="shared" si="96"/>
        <x:v>0</x:v>
      </x:c>
      <x:c r="AL281" s="175">
        <x:f t="shared" si="96"/>
        <x:v>0</x:v>
      </x:c>
      <x:c r="AM281" s="175">
        <x:f t="shared" si="96"/>
        <x:v>0</x:v>
      </x:c>
      <x:c r="AN281" s="175">
        <x:f t="shared" si="96"/>
        <x:v>0</x:v>
      </x:c>
      <x:c r="AO281" s="176" t="str">
        <x:f t="shared" si="66"/>
        <x:v>0</x:v>
      </x:c>
      <x:c r="AP281" s="176" t="str">
        <x:f t="shared" si="67"/>
        <x:v>0</x:v>
      </x:c>
      <x:c r="AQ281" s="176" t="str">
        <x:f t="shared" si="68"/>
        <x:v>0</x:v>
      </x:c>
      <x:c r="AR281" s="176" t="str">
        <x:f t="shared" si="69"/>
        <x:v>0</x:v>
      </x:c>
      <x:c r="AS281" s="176" t="str">
        <x:f t="shared" si="70"/>
        <x:v>0</x:v>
      </x:c>
      <x:c r="AT281" s="176" t="str">
        <x:f t="shared" si="71"/>
        <x:v>0</x:v>
      </x:c>
      <x:c r="AU281" s="176" t="str">
        <x:f t="shared" si="72"/>
        <x:v>0</x:v>
      </x:c>
      <x:c r="AV281" s="176" t="str">
        <x:f t="shared" si="73"/>
        <x:v>0</x:v>
      </x:c>
      <x:c r="AW281" s="176" t="str">
        <x:f t="shared" si="74"/>
        <x:v>0</x:v>
      </x:c>
      <x:c r="AX281" s="176" t="str">
        <x:f t="shared" si="75"/>
        <x:v>0</x:v>
      </x:c>
      <x:c r="AY281" s="176" t="str">
        <x:f t="shared" si="76"/>
        <x:v>0</x:v>
      </x:c>
      <x:c r="AZ281" s="176" t="str">
        <x:f t="shared" si="77"/>
        <x:v>0</x:v>
      </x:c>
      <x:c r="BA281" s="176" t="str">
        <x:f t="shared" si="78"/>
        <x:v>0</x:v>
      </x:c>
      <x:c r="BB281" s="176" t="str">
        <x:f t="shared" si="79"/>
        <x:v>0</x:v>
      </x:c>
      <x:c r="BC281" s="176" t="str">
        <x:f t="shared" si="80"/>
        <x:v>0</x:v>
      </x:c>
      <x:c r="BD281" s="176" t="str">
        <x:f t="shared" si="81"/>
        <x:v>0</x:v>
      </x:c>
      <x:c r="BE281" s="176" t="str">
        <x:f t="shared" si="82"/>
        <x:v>0</x:v>
      </x:c>
      <x:c r="BF281" s="176" t="str">
        <x:f t="shared" si="83"/>
        <x:v>0</x:v>
      </x:c>
      <x:c r="BG281" s="176" t="str">
        <x:f t="shared" si="84"/>
        <x:v>0</x:v>
      </x:c>
      <x:c r="BH281" s="176" t="str">
        <x:f t="shared" si="85"/>
        <x:v>0</x:v>
      </x:c>
      <x:c r="BI281" s="176" t="str">
        <x:f t="shared" si="86"/>
        <x:v>0</x:v>
      </x:c>
      <x:c r="BJ281" s="176" t="str">
        <x:f t="shared" si="87"/>
        <x:v>0</x:v>
      </x:c>
      <x:c r="BK281" s="176"/>
      <x:c r="BL281" s="175">
        <x:f t="shared" si="88"/>
        <x:v>0</x:v>
      </x:c>
      <x:c r="BM281" s="177">
        <x:f t="shared" si="43"/>
        <x:v>0</x:v>
      </x:c>
      <x:c r="BN281" s="178">
        <x:f t="shared" si="108"/>
        <x:v>0</x:v>
      </x:c>
      <x:c r="BO281" s="179">
        <x:f t="shared" si="108"/>
        <x:v>0</x:v>
      </x:c>
    </x:row>
    <x:row r="282" s="162" customFormat="1" ht="19.899999618530273" hidden="1" customHeight="1">
      <x:c r="A282" s="170">
        <x:v>32</x:v>
      </x:c>
      <x:c r="B282" s="162" t="str">
        <x:f t="shared" ref="B282:C282" si="112">TEXT(B38,"00")</x:f>
      </x:c>
      <x:c r="C282" s="162" t="str">
        <x:f t="shared" si="112"/>
        <x:v>00</x:v>
      </x:c>
      <x:c r="D282" s="162" t="str">
        <x:f t="shared" si="5"/>
        <x:v>0000</x:v>
      </x:c>
      <x:c r="E282" s="162" t="str">
        <x:f t="shared" si="6"/>
        <x:v>000</x:v>
      </x:c>
      <x:c r="F282" s="171" t="str">
        <x:f t="shared" si="7"/>
        <x:v>0</x:v>
      </x:c>
      <x:c r="G282" s="172">
        <x:f t="shared" si="54"/>
        <x:v>0</x:v>
      </x:c>
      <x:c r="H282" s="173" t="str">
        <x:f t="shared" si="55"/>
        <x:v>0</x:v>
      </x:c>
      <x:c r="I282" s="173" t="str">
        <x:f t="shared" si="56"/>
        <x:v>0</x:v>
      </x:c>
      <x:c r="J282" s="173" t="str">
        <x:f t="shared" si="57"/>
        <x:v>0</x:v>
      </x:c>
      <x:c r="K282" s="173" t="str">
        <x:f t="shared" si="58"/>
        <x:v>0</x:v>
      </x:c>
      <x:c r="L282" s="173" t="str">
        <x:f t="shared" si="59"/>
        <x:v>0</x:v>
      </x:c>
      <x:c r="M282" s="173" t="str">
        <x:f t="shared" si="60"/>
        <x:v>0</x:v>
      </x:c>
      <x:c r="N282" s="173" t="str">
        <x:f t="shared" si="61"/>
        <x:v>0</x:v>
      </x:c>
      <x:c r="O282" s="173" t="str">
        <x:f t="shared" si="62"/>
        <x:v>0</x:v>
      </x:c>
      <x:c r="P282" s="173" t="str">
        <x:f t="shared" si="63"/>
        <x:v>0</x:v>
      </x:c>
      <x:c r="Q282" s="173" t="str">
        <x:f t="shared" si="64"/>
        <x:v>0</x:v>
      </x:c>
      <x:c r="R282" s="173" t="str">
        <x:f t="shared" si="65"/>
        <x:v>0</x:v>
      </x:c>
      <x:c r="S282" s="174">
        <x:v>2</x:v>
      </x:c>
      <x:c r="T282" s="174">
        <x:v>1</x:v>
      </x:c>
      <x:c r="U282" s="174">
        <x:v>2</x:v>
      </x:c>
      <x:c r="V282" s="174">
        <x:v>1</x:v>
      </x:c>
      <x:c r="W282" s="174">
        <x:v>2</x:v>
      </x:c>
      <x:c r="X282" s="174">
        <x:v>1</x:v>
      </x:c>
      <x:c r="Y282" s="174">
        <x:v>2</x:v>
      </x:c>
      <x:c r="Z282" s="174">
        <x:v>1</x:v>
      </x:c>
      <x:c r="AA282" s="174">
        <x:v>2</x:v>
      </x:c>
      <x:c r="AB282" s="174">
        <x:v>1</x:v>
      </x:c>
      <x:c r="AC282" s="174">
        <x:v>2</x:v>
      </x:c>
      <x:c r="AD282" s="175">
        <x:f t="shared" si="96"/>
        <x:v>0</x:v>
      </x:c>
      <x:c r="AE282" s="175">
        <x:f t="shared" si="96"/>
        <x:v>0</x:v>
      </x:c>
      <x:c r="AF282" s="175">
        <x:f t="shared" si="96"/>
        <x:v>0</x:v>
      </x:c>
      <x:c r="AG282" s="175">
        <x:f t="shared" si="96"/>
        <x:v>0</x:v>
      </x:c>
      <x:c r="AH282" s="175">
        <x:f t="shared" si="96"/>
        <x:v>0</x:v>
      </x:c>
      <x:c r="AI282" s="175">
        <x:f t="shared" si="96"/>
        <x:v>0</x:v>
      </x:c>
      <x:c r="AJ282" s="175">
        <x:f t="shared" si="96"/>
        <x:v>0</x:v>
      </x:c>
      <x:c r="AK282" s="175">
        <x:f t="shared" si="96"/>
        <x:v>0</x:v>
      </x:c>
      <x:c r="AL282" s="175">
        <x:f t="shared" si="96"/>
        <x:v>0</x:v>
      </x:c>
      <x:c r="AM282" s="175">
        <x:f t="shared" si="96"/>
        <x:v>0</x:v>
      </x:c>
      <x:c r="AN282" s="175">
        <x:f t="shared" si="96"/>
        <x:v>0</x:v>
      </x:c>
      <x:c r="AO282" s="176" t="str">
        <x:f t="shared" si="66"/>
        <x:v>0</x:v>
      </x:c>
      <x:c r="AP282" s="176" t="str">
        <x:f t="shared" si="67"/>
        <x:v>0</x:v>
      </x:c>
      <x:c r="AQ282" s="176" t="str">
        <x:f t="shared" si="68"/>
        <x:v>0</x:v>
      </x:c>
      <x:c r="AR282" s="176" t="str">
        <x:f t="shared" si="69"/>
        <x:v>0</x:v>
      </x:c>
      <x:c r="AS282" s="176" t="str">
        <x:f t="shared" si="70"/>
        <x:v>0</x:v>
      </x:c>
      <x:c r="AT282" s="176" t="str">
        <x:f t="shared" si="71"/>
        <x:v>0</x:v>
      </x:c>
      <x:c r="AU282" s="176" t="str">
        <x:f t="shared" si="72"/>
        <x:v>0</x:v>
      </x:c>
      <x:c r="AV282" s="176" t="str">
        <x:f t="shared" si="73"/>
        <x:v>0</x:v>
      </x:c>
      <x:c r="AW282" s="176" t="str">
        <x:f t="shared" si="74"/>
        <x:v>0</x:v>
      </x:c>
      <x:c r="AX282" s="176" t="str">
        <x:f t="shared" si="75"/>
        <x:v>0</x:v>
      </x:c>
      <x:c r="AY282" s="176" t="str">
        <x:f t="shared" si="76"/>
        <x:v>0</x:v>
      </x:c>
      <x:c r="AZ282" s="176" t="str">
        <x:f t="shared" si="77"/>
        <x:v>0</x:v>
      </x:c>
      <x:c r="BA282" s="176" t="str">
        <x:f t="shared" si="78"/>
        <x:v>0</x:v>
      </x:c>
      <x:c r="BB282" s="176" t="str">
        <x:f t="shared" si="79"/>
        <x:v>0</x:v>
      </x:c>
      <x:c r="BC282" s="176" t="str">
        <x:f t="shared" si="80"/>
        <x:v>0</x:v>
      </x:c>
      <x:c r="BD282" s="176" t="str">
        <x:f t="shared" si="81"/>
        <x:v>0</x:v>
      </x:c>
      <x:c r="BE282" s="176" t="str">
        <x:f t="shared" si="82"/>
        <x:v>0</x:v>
      </x:c>
      <x:c r="BF282" s="176" t="str">
        <x:f t="shared" si="83"/>
        <x:v>0</x:v>
      </x:c>
      <x:c r="BG282" s="176" t="str">
        <x:f t="shared" si="84"/>
        <x:v>0</x:v>
      </x:c>
      <x:c r="BH282" s="176" t="str">
        <x:f t="shared" si="85"/>
        <x:v>0</x:v>
      </x:c>
      <x:c r="BI282" s="176" t="str">
        <x:f t="shared" si="86"/>
        <x:v>0</x:v>
      </x:c>
      <x:c r="BJ282" s="176" t="str">
        <x:f t="shared" si="87"/>
        <x:v>0</x:v>
      </x:c>
      <x:c r="BK282" s="176"/>
      <x:c r="BL282" s="175">
        <x:f t="shared" si="88"/>
        <x:v>0</x:v>
      </x:c>
      <x:c r="BM282" s="177">
        <x:f t="shared" si="43"/>
        <x:v>0</x:v>
      </x:c>
      <x:c r="BN282" s="178">
        <x:f t="shared" si="108"/>
        <x:v>0</x:v>
      </x:c>
      <x:c r="BO282" s="179">
        <x:f t="shared" si="108"/>
        <x:v>0</x:v>
      </x:c>
    </x:row>
    <x:row r="283" s="162" customFormat="1" ht="19.899999618530273" hidden="1" customHeight="1">
      <x:c r="A283" s="170">
        <x:v>33</x:v>
      </x:c>
      <x:c r="B283" s="162" t="str">
        <x:f t="shared" ref="B283:C283" si="113">TEXT(B39,"00")</x:f>
      </x:c>
      <x:c r="C283" s="162" t="str">
        <x:f t="shared" si="113"/>
        <x:v>00</x:v>
      </x:c>
      <x:c r="D283" s="162" t="str">
        <x:f t="shared" si="5"/>
        <x:v>0000</x:v>
      </x:c>
      <x:c r="E283" s="162" t="str">
        <x:f t="shared" si="6"/>
        <x:v>000</x:v>
      </x:c>
      <x:c r="F283" s="171" t="str">
        <x:f t="shared" si="7"/>
        <x:v>0</x:v>
      </x:c>
      <x:c r="G283" s="172">
        <x:f t="shared" si="54"/>
        <x:v>0</x:v>
      </x:c>
      <x:c r="H283" s="173" t="str">
        <x:f t="shared" si="55"/>
        <x:v>0</x:v>
      </x:c>
      <x:c r="I283" s="173" t="str">
        <x:f t="shared" si="56"/>
        <x:v>0</x:v>
      </x:c>
      <x:c r="J283" s="173" t="str">
        <x:f t="shared" si="57"/>
        <x:v>0</x:v>
      </x:c>
      <x:c r="K283" s="173" t="str">
        <x:f t="shared" si="58"/>
        <x:v>0</x:v>
      </x:c>
      <x:c r="L283" s="173" t="str">
        <x:f t="shared" si="59"/>
        <x:v>0</x:v>
      </x:c>
      <x:c r="M283" s="173" t="str">
        <x:f t="shared" si="60"/>
        <x:v>0</x:v>
      </x:c>
      <x:c r="N283" s="173" t="str">
        <x:f t="shared" si="61"/>
        <x:v>0</x:v>
      </x:c>
      <x:c r="O283" s="173" t="str">
        <x:f t="shared" si="62"/>
        <x:v>0</x:v>
      </x:c>
      <x:c r="P283" s="173" t="str">
        <x:f t="shared" si="63"/>
        <x:v>0</x:v>
      </x:c>
      <x:c r="Q283" s="173" t="str">
        <x:f t="shared" si="64"/>
        <x:v>0</x:v>
      </x:c>
      <x:c r="R283" s="173" t="str">
        <x:f t="shared" si="65"/>
        <x:v>0</x:v>
      </x:c>
      <x:c r="S283" s="174">
        <x:v>2</x:v>
      </x:c>
      <x:c r="T283" s="174">
        <x:v>1</x:v>
      </x:c>
      <x:c r="U283" s="174">
        <x:v>2</x:v>
      </x:c>
      <x:c r="V283" s="174">
        <x:v>1</x:v>
      </x:c>
      <x:c r="W283" s="174">
        <x:v>2</x:v>
      </x:c>
      <x:c r="X283" s="174">
        <x:v>1</x:v>
      </x:c>
      <x:c r="Y283" s="174">
        <x:v>2</x:v>
      </x:c>
      <x:c r="Z283" s="174">
        <x:v>1</x:v>
      </x:c>
      <x:c r="AA283" s="174">
        <x:v>2</x:v>
      </x:c>
      <x:c r="AB283" s="174">
        <x:v>1</x:v>
      </x:c>
      <x:c r="AC283" s="174">
        <x:v>2</x:v>
      </x:c>
      <x:c r="AD283" s="175">
        <x:f t="shared" si="96"/>
        <x:v>0</x:v>
      </x:c>
      <x:c r="AE283" s="175">
        <x:f t="shared" si="96"/>
        <x:v>0</x:v>
      </x:c>
      <x:c r="AF283" s="175">
        <x:f t="shared" si="96"/>
        <x:v>0</x:v>
      </x:c>
      <x:c r="AG283" s="175">
        <x:f t="shared" si="96"/>
        <x:v>0</x:v>
      </x:c>
      <x:c r="AH283" s="175">
        <x:f t="shared" si="96"/>
        <x:v>0</x:v>
      </x:c>
      <x:c r="AI283" s="175">
        <x:f t="shared" si="96"/>
        <x:v>0</x:v>
      </x:c>
      <x:c r="AJ283" s="175">
        <x:f t="shared" si="96"/>
        <x:v>0</x:v>
      </x:c>
      <x:c r="AK283" s="175">
        <x:f t="shared" si="96"/>
        <x:v>0</x:v>
      </x:c>
      <x:c r="AL283" s="175">
        <x:f t="shared" si="96"/>
        <x:v>0</x:v>
      </x:c>
      <x:c r="AM283" s="175">
        <x:f t="shared" si="96"/>
        <x:v>0</x:v>
      </x:c>
      <x:c r="AN283" s="175">
        <x:f t="shared" si="96"/>
        <x:v>0</x:v>
      </x:c>
      <x:c r="AO283" s="176" t="str">
        <x:f t="shared" si="66"/>
        <x:v>0</x:v>
      </x:c>
      <x:c r="AP283" s="176" t="str">
        <x:f t="shared" si="67"/>
        <x:v>0</x:v>
      </x:c>
      <x:c r="AQ283" s="176" t="str">
        <x:f t="shared" si="68"/>
        <x:v>0</x:v>
      </x:c>
      <x:c r="AR283" s="176" t="str">
        <x:f t="shared" si="69"/>
        <x:v>0</x:v>
      </x:c>
      <x:c r="AS283" s="176" t="str">
        <x:f t="shared" si="70"/>
        <x:v>0</x:v>
      </x:c>
      <x:c r="AT283" s="176" t="str">
        <x:f t="shared" si="71"/>
        <x:v>0</x:v>
      </x:c>
      <x:c r="AU283" s="176" t="str">
        <x:f t="shared" si="72"/>
        <x:v>0</x:v>
      </x:c>
      <x:c r="AV283" s="176" t="str">
        <x:f t="shared" si="73"/>
        <x:v>0</x:v>
      </x:c>
      <x:c r="AW283" s="176" t="str">
        <x:f t="shared" si="74"/>
        <x:v>0</x:v>
      </x:c>
      <x:c r="AX283" s="176" t="str">
        <x:f t="shared" si="75"/>
        <x:v>0</x:v>
      </x:c>
      <x:c r="AY283" s="176" t="str">
        <x:f t="shared" si="76"/>
        <x:v>0</x:v>
      </x:c>
      <x:c r="AZ283" s="176" t="str">
        <x:f t="shared" si="77"/>
        <x:v>0</x:v>
      </x:c>
      <x:c r="BA283" s="176" t="str">
        <x:f t="shared" si="78"/>
        <x:v>0</x:v>
      </x:c>
      <x:c r="BB283" s="176" t="str">
        <x:f t="shared" si="79"/>
        <x:v>0</x:v>
      </x:c>
      <x:c r="BC283" s="176" t="str">
        <x:f t="shared" si="80"/>
        <x:v>0</x:v>
      </x:c>
      <x:c r="BD283" s="176" t="str">
        <x:f t="shared" si="81"/>
        <x:v>0</x:v>
      </x:c>
      <x:c r="BE283" s="176" t="str">
        <x:f t="shared" si="82"/>
        <x:v>0</x:v>
      </x:c>
      <x:c r="BF283" s="176" t="str">
        <x:f t="shared" si="83"/>
        <x:v>0</x:v>
      </x:c>
      <x:c r="BG283" s="176" t="str">
        <x:f t="shared" si="84"/>
        <x:v>0</x:v>
      </x:c>
      <x:c r="BH283" s="176" t="str">
        <x:f t="shared" si="85"/>
        <x:v>0</x:v>
      </x:c>
      <x:c r="BI283" s="176" t="str">
        <x:f t="shared" si="86"/>
        <x:v>0</x:v>
      </x:c>
      <x:c r="BJ283" s="176" t="str">
        <x:f t="shared" si="87"/>
        <x:v>0</x:v>
      </x:c>
      <x:c r="BK283" s="176"/>
      <x:c r="BL283" s="175">
        <x:f t="shared" si="88"/>
        <x:v>0</x:v>
      </x:c>
      <x:c r="BM283" s="177">
        <x:f t="shared" si="43"/>
        <x:v>0</x:v>
      </x:c>
      <x:c r="BN283" s="178">
        <x:f t="shared" si="108"/>
        <x:v>0</x:v>
      </x:c>
      <x:c r="BO283" s="179">
        <x:f t="shared" si="108"/>
        <x:v>0</x:v>
      </x:c>
    </x:row>
    <x:row r="284" s="162" customFormat="1" ht="19.899999618530273" hidden="1" customHeight="1">
      <x:c r="A284" s="170">
        <x:v>34</x:v>
      </x:c>
      <x:c r="B284" s="162" t="str">
        <x:f t="shared" ref="B284:C284" si="114">TEXT(B40,"00")</x:f>
      </x:c>
      <x:c r="C284" s="162" t="str">
        <x:f t="shared" si="114"/>
        <x:v>00</x:v>
      </x:c>
      <x:c r="D284" s="162" t="str">
        <x:f t="shared" si="5"/>
        <x:v>0000</x:v>
      </x:c>
      <x:c r="E284" s="162" t="str">
        <x:f t="shared" si="6"/>
        <x:v>000</x:v>
      </x:c>
      <x:c r="F284" s="171" t="str">
        <x:f t="shared" si="7"/>
        <x:v>0</x:v>
      </x:c>
      <x:c r="G284" s="172">
        <x:f t="shared" si="54"/>
        <x:v>0</x:v>
      </x:c>
      <x:c r="H284" s="173" t="str">
        <x:f t="shared" si="55"/>
        <x:v>0</x:v>
      </x:c>
      <x:c r="I284" s="173" t="str">
        <x:f t="shared" si="56"/>
        <x:v>0</x:v>
      </x:c>
      <x:c r="J284" s="173" t="str">
        <x:f t="shared" si="57"/>
        <x:v>0</x:v>
      </x:c>
      <x:c r="K284" s="173" t="str">
        <x:f t="shared" si="58"/>
        <x:v>0</x:v>
      </x:c>
      <x:c r="L284" s="173" t="str">
        <x:f t="shared" si="59"/>
        <x:v>0</x:v>
      </x:c>
      <x:c r="M284" s="173" t="str">
        <x:f t="shared" si="60"/>
        <x:v>0</x:v>
      </x:c>
      <x:c r="N284" s="173" t="str">
        <x:f t="shared" si="61"/>
        <x:v>0</x:v>
      </x:c>
      <x:c r="O284" s="173" t="str">
        <x:f t="shared" si="62"/>
        <x:v>0</x:v>
      </x:c>
      <x:c r="P284" s="173" t="str">
        <x:f t="shared" si="63"/>
        <x:v>0</x:v>
      </x:c>
      <x:c r="Q284" s="173" t="str">
        <x:f t="shared" si="64"/>
        <x:v>0</x:v>
      </x:c>
      <x:c r="R284" s="173" t="str">
        <x:f t="shared" si="65"/>
        <x:v>0</x:v>
      </x:c>
      <x:c r="S284" s="174">
        <x:v>2</x:v>
      </x:c>
      <x:c r="T284" s="174">
        <x:v>1</x:v>
      </x:c>
      <x:c r="U284" s="174">
        <x:v>2</x:v>
      </x:c>
      <x:c r="V284" s="174">
        <x:v>1</x:v>
      </x:c>
      <x:c r="W284" s="174">
        <x:v>2</x:v>
      </x:c>
      <x:c r="X284" s="174">
        <x:v>1</x:v>
      </x:c>
      <x:c r="Y284" s="174">
        <x:v>2</x:v>
      </x:c>
      <x:c r="Z284" s="174">
        <x:v>1</x:v>
      </x:c>
      <x:c r="AA284" s="174">
        <x:v>2</x:v>
      </x:c>
      <x:c r="AB284" s="174">
        <x:v>1</x:v>
      </x:c>
      <x:c r="AC284" s="174">
        <x:v>2</x:v>
      </x:c>
      <x:c r="AD284" s="175" t="n">
        <x:f t="shared" ref="AD284:AN290" si="115">H284*S284</x:f>
        <x:v>0</x:v>
      </x:c>
      <x:c r="AE284" s="175">
        <x:f t="shared" si="115"/>
        <x:v>0</x:v>
      </x:c>
      <x:c r="AF284" s="175">
        <x:f t="shared" si="115"/>
        <x:v>0</x:v>
      </x:c>
      <x:c r="AG284" s="175">
        <x:f t="shared" si="115"/>
        <x:v>0</x:v>
      </x:c>
      <x:c r="AH284" s="175">
        <x:f t="shared" si="115"/>
        <x:v>0</x:v>
      </x:c>
      <x:c r="AI284" s="175">
        <x:f t="shared" si="115"/>
        <x:v>0</x:v>
      </x:c>
      <x:c r="AJ284" s="175">
        <x:f t="shared" si="115"/>
        <x:v>0</x:v>
      </x:c>
      <x:c r="AK284" s="175">
        <x:f t="shared" si="115"/>
        <x:v>0</x:v>
      </x:c>
      <x:c r="AL284" s="175">
        <x:f t="shared" si="115"/>
        <x:v>0</x:v>
      </x:c>
      <x:c r="AM284" s="175">
        <x:f t="shared" si="115"/>
        <x:v>0</x:v>
      </x:c>
      <x:c r="AN284" s="175">
        <x:f t="shared" si="115"/>
        <x:v>0</x:v>
      </x:c>
      <x:c r="AO284" s="176" t="str">
        <x:f t="shared" si="66"/>
        <x:v>0</x:v>
      </x:c>
      <x:c r="AP284" s="176" t="str">
        <x:f t="shared" si="67"/>
        <x:v>0</x:v>
      </x:c>
      <x:c r="AQ284" s="176" t="str">
        <x:f t="shared" si="68"/>
        <x:v>0</x:v>
      </x:c>
      <x:c r="AR284" s="176" t="str">
        <x:f t="shared" si="69"/>
        <x:v>0</x:v>
      </x:c>
      <x:c r="AS284" s="176" t="str">
        <x:f t="shared" si="70"/>
        <x:v>0</x:v>
      </x:c>
      <x:c r="AT284" s="176" t="str">
        <x:f t="shared" si="71"/>
        <x:v>0</x:v>
      </x:c>
      <x:c r="AU284" s="176" t="str">
        <x:f t="shared" si="72"/>
        <x:v>0</x:v>
      </x:c>
      <x:c r="AV284" s="176" t="str">
        <x:f t="shared" si="73"/>
        <x:v>0</x:v>
      </x:c>
      <x:c r="AW284" s="176" t="str">
        <x:f t="shared" si="74"/>
        <x:v>0</x:v>
      </x:c>
      <x:c r="AX284" s="176" t="str">
        <x:f t="shared" si="75"/>
        <x:v>0</x:v>
      </x:c>
      <x:c r="AY284" s="176" t="str">
        <x:f t="shared" si="76"/>
        <x:v>0</x:v>
      </x:c>
      <x:c r="AZ284" s="176" t="str">
        <x:f t="shared" si="77"/>
        <x:v>0</x:v>
      </x:c>
      <x:c r="BA284" s="176" t="str">
        <x:f t="shared" si="78"/>
        <x:v>0</x:v>
      </x:c>
      <x:c r="BB284" s="176" t="str">
        <x:f t="shared" si="79"/>
        <x:v>0</x:v>
      </x:c>
      <x:c r="BC284" s="176" t="str">
        <x:f t="shared" si="80"/>
        <x:v>0</x:v>
      </x:c>
      <x:c r="BD284" s="176" t="str">
        <x:f t="shared" si="81"/>
        <x:v>0</x:v>
      </x:c>
      <x:c r="BE284" s="176" t="str">
        <x:f t="shared" si="82"/>
        <x:v>0</x:v>
      </x:c>
      <x:c r="BF284" s="176" t="str">
        <x:f t="shared" si="83"/>
        <x:v>0</x:v>
      </x:c>
      <x:c r="BG284" s="176" t="str">
        <x:f t="shared" si="84"/>
        <x:v>0</x:v>
      </x:c>
      <x:c r="BH284" s="176" t="str">
        <x:f t="shared" si="85"/>
        <x:v>0</x:v>
      </x:c>
      <x:c r="BI284" s="176" t="str">
        <x:f t="shared" si="86"/>
        <x:v>0</x:v>
      </x:c>
      <x:c r="BJ284" s="176" t="str">
        <x:f t="shared" si="87"/>
        <x:v>0</x:v>
      </x:c>
      <x:c r="BK284" s="176"/>
      <x:c r="BL284" s="175">
        <x:f t="shared" si="88"/>
        <x:v>0</x:v>
      </x:c>
      <x:c r="BM284" s="177">
        <x:f t="shared" si="43"/>
        <x:v>0</x:v>
      </x:c>
      <x:c r="BN284" s="178">
        <x:f t="shared" si="108"/>
        <x:v>0</x:v>
      </x:c>
      <x:c r="BO284" s="179">
        <x:f t="shared" si="108"/>
        <x:v>0</x:v>
      </x:c>
    </x:row>
    <x:row r="285" s="162" customFormat="1" ht="19.899999618530273" hidden="1" customHeight="1">
      <x:c r="A285" s="170">
        <x:v>35</x:v>
      </x:c>
      <x:c r="B285" s="162" t="str">
        <x:f t="shared" ref="B285:C285" si="116">TEXT(B41,"00")</x:f>
      </x:c>
      <x:c r="C285" s="162" t="str">
        <x:f t="shared" si="116"/>
        <x:v>00</x:v>
      </x:c>
      <x:c r="D285" s="162" t="str">
        <x:f t="shared" si="5"/>
        <x:v>0000</x:v>
      </x:c>
      <x:c r="E285" s="162" t="str">
        <x:f t="shared" si="6"/>
        <x:v>000</x:v>
      </x:c>
      <x:c r="F285" s="171" t="str">
        <x:f t="shared" si="7"/>
        <x:v>0</x:v>
      </x:c>
      <x:c r="G285" s="172">
        <x:f t="shared" si="54"/>
        <x:v>0</x:v>
      </x:c>
      <x:c r="H285" s="173" t="str">
        <x:f t="shared" si="55"/>
        <x:v>0</x:v>
      </x:c>
      <x:c r="I285" s="173" t="str">
        <x:f t="shared" si="56"/>
        <x:v>0</x:v>
      </x:c>
      <x:c r="J285" s="173" t="str">
        <x:f t="shared" si="57"/>
        <x:v>0</x:v>
      </x:c>
      <x:c r="K285" s="173" t="str">
        <x:f t="shared" si="58"/>
        <x:v>0</x:v>
      </x:c>
      <x:c r="L285" s="173" t="str">
        <x:f t="shared" si="59"/>
        <x:v>0</x:v>
      </x:c>
      <x:c r="M285" s="173" t="str">
        <x:f t="shared" si="60"/>
        <x:v>0</x:v>
      </x:c>
      <x:c r="N285" s="173" t="str">
        <x:f t="shared" si="61"/>
        <x:v>0</x:v>
      </x:c>
      <x:c r="O285" s="173" t="str">
        <x:f t="shared" si="62"/>
        <x:v>0</x:v>
      </x:c>
      <x:c r="P285" s="173" t="str">
        <x:f t="shared" si="63"/>
        <x:v>0</x:v>
      </x:c>
      <x:c r="Q285" s="173" t="str">
        <x:f t="shared" si="64"/>
        <x:v>0</x:v>
      </x:c>
      <x:c r="R285" s="173" t="str">
        <x:f t="shared" si="65"/>
        <x:v>0</x:v>
      </x:c>
      <x:c r="S285" s="174">
        <x:v>2</x:v>
      </x:c>
      <x:c r="T285" s="174">
        <x:v>1</x:v>
      </x:c>
      <x:c r="U285" s="174">
        <x:v>2</x:v>
      </x:c>
      <x:c r="V285" s="174">
        <x:v>1</x:v>
      </x:c>
      <x:c r="W285" s="174">
        <x:v>2</x:v>
      </x:c>
      <x:c r="X285" s="174">
        <x:v>1</x:v>
      </x:c>
      <x:c r="Y285" s="174">
        <x:v>2</x:v>
      </x:c>
      <x:c r="Z285" s="174">
        <x:v>1</x:v>
      </x:c>
      <x:c r="AA285" s="174">
        <x:v>2</x:v>
      </x:c>
      <x:c r="AB285" s="174">
        <x:v>1</x:v>
      </x:c>
      <x:c r="AC285" s="174">
        <x:v>2</x:v>
      </x:c>
      <x:c r="AD285" s="175">
        <x:f t="shared" si="115"/>
        <x:v>0</x:v>
      </x:c>
      <x:c r="AE285" s="175">
        <x:f t="shared" si="115"/>
        <x:v>0</x:v>
      </x:c>
      <x:c r="AF285" s="175">
        <x:f t="shared" si="115"/>
        <x:v>0</x:v>
      </x:c>
      <x:c r="AG285" s="175">
        <x:f t="shared" si="115"/>
        <x:v>0</x:v>
      </x:c>
      <x:c r="AH285" s="175">
        <x:f t="shared" si="115"/>
        <x:v>0</x:v>
      </x:c>
      <x:c r="AI285" s="175">
        <x:f t="shared" si="115"/>
        <x:v>0</x:v>
      </x:c>
      <x:c r="AJ285" s="175">
        <x:f t="shared" si="115"/>
        <x:v>0</x:v>
      </x:c>
      <x:c r="AK285" s="175">
        <x:f t="shared" si="115"/>
        <x:v>0</x:v>
      </x:c>
      <x:c r="AL285" s="175">
        <x:f t="shared" si="115"/>
        <x:v>0</x:v>
      </x:c>
      <x:c r="AM285" s="175">
        <x:f t="shared" si="115"/>
        <x:v>0</x:v>
      </x:c>
      <x:c r="AN285" s="175">
        <x:f t="shared" si="115"/>
        <x:v>0</x:v>
      </x:c>
      <x:c r="AO285" s="176" t="str">
        <x:f t="shared" si="66"/>
        <x:v>0</x:v>
      </x:c>
      <x:c r="AP285" s="176" t="str">
        <x:f t="shared" si="67"/>
        <x:v>0</x:v>
      </x:c>
      <x:c r="AQ285" s="176" t="str">
        <x:f t="shared" si="68"/>
        <x:v>0</x:v>
      </x:c>
      <x:c r="AR285" s="176" t="str">
        <x:f t="shared" si="69"/>
        <x:v>0</x:v>
      </x:c>
      <x:c r="AS285" s="176" t="str">
        <x:f t="shared" si="70"/>
        <x:v>0</x:v>
      </x:c>
      <x:c r="AT285" s="176" t="str">
        <x:f t="shared" si="71"/>
        <x:v>0</x:v>
      </x:c>
      <x:c r="AU285" s="176" t="str">
        <x:f t="shared" si="72"/>
        <x:v>0</x:v>
      </x:c>
      <x:c r="AV285" s="176" t="str">
        <x:f t="shared" si="73"/>
        <x:v>0</x:v>
      </x:c>
      <x:c r="AW285" s="176" t="str">
        <x:f t="shared" si="74"/>
        <x:v>0</x:v>
      </x:c>
      <x:c r="AX285" s="176" t="str">
        <x:f t="shared" si="75"/>
        <x:v>0</x:v>
      </x:c>
      <x:c r="AY285" s="176" t="str">
        <x:f t="shared" si="76"/>
        <x:v>0</x:v>
      </x:c>
      <x:c r="AZ285" s="176" t="str">
        <x:f t="shared" si="77"/>
        <x:v>0</x:v>
      </x:c>
      <x:c r="BA285" s="176" t="str">
        <x:f t="shared" si="78"/>
        <x:v>0</x:v>
      </x:c>
      <x:c r="BB285" s="176" t="str">
        <x:f t="shared" si="79"/>
        <x:v>0</x:v>
      </x:c>
      <x:c r="BC285" s="176" t="str">
        <x:f t="shared" si="80"/>
        <x:v>0</x:v>
      </x:c>
      <x:c r="BD285" s="176" t="str">
        <x:f t="shared" si="81"/>
        <x:v>0</x:v>
      </x:c>
      <x:c r="BE285" s="176" t="str">
        <x:f t="shared" si="82"/>
        <x:v>0</x:v>
      </x:c>
      <x:c r="BF285" s="176" t="str">
        <x:f t="shared" si="83"/>
        <x:v>0</x:v>
      </x:c>
      <x:c r="BG285" s="176" t="str">
        <x:f t="shared" si="84"/>
        <x:v>0</x:v>
      </x:c>
      <x:c r="BH285" s="176" t="str">
        <x:f t="shared" si="85"/>
        <x:v>0</x:v>
      </x:c>
      <x:c r="BI285" s="176" t="str">
        <x:f t="shared" si="86"/>
        <x:v>0</x:v>
      </x:c>
      <x:c r="BJ285" s="176" t="str">
        <x:f t="shared" si="87"/>
        <x:v>0</x:v>
      </x:c>
      <x:c r="BK285" s="176"/>
      <x:c r="BL285" s="175">
        <x:f t="shared" si="88"/>
        <x:v>0</x:v>
      </x:c>
      <x:c r="BM285" s="177">
        <x:f t="shared" si="43"/>
        <x:v>0</x:v>
      </x:c>
      <x:c r="BN285" s="178">
        <x:f t="shared" si="108"/>
        <x:v>0</x:v>
      </x:c>
      <x:c r="BO285" s="179">
        <x:f t="shared" si="108"/>
        <x:v>0</x:v>
      </x:c>
    </x:row>
    <x:row r="286" s="162" customFormat="1" ht="19.899999618530273" hidden="1" customHeight="1">
      <x:c r="A286" s="170">
        <x:v>36</x:v>
      </x:c>
      <x:c r="B286" s="162" t="str">
        <x:f t="shared" ref="B286:C286" si="117">TEXT(B42,"00")</x:f>
      </x:c>
      <x:c r="C286" s="162" t="str">
        <x:f t="shared" si="117"/>
        <x:v>00</x:v>
      </x:c>
      <x:c r="D286" s="162" t="str">
        <x:f t="shared" si="5"/>
        <x:v>0000</x:v>
      </x:c>
      <x:c r="E286" s="162" t="str">
        <x:f t="shared" si="6"/>
        <x:v>000</x:v>
      </x:c>
      <x:c r="F286" s="171" t="str">
        <x:f t="shared" si="7"/>
        <x:v>0</x:v>
      </x:c>
      <x:c r="G286" s="172">
        <x:f t="shared" si="54"/>
        <x:v>0</x:v>
      </x:c>
      <x:c r="H286" s="173" t="str">
        <x:f t="shared" si="55"/>
        <x:v>0</x:v>
      </x:c>
      <x:c r="I286" s="173" t="str">
        <x:f t="shared" si="56"/>
        <x:v>0</x:v>
      </x:c>
      <x:c r="J286" s="173" t="str">
        <x:f t="shared" si="57"/>
        <x:v>0</x:v>
      </x:c>
      <x:c r="K286" s="173" t="str">
        <x:f t="shared" si="58"/>
        <x:v>0</x:v>
      </x:c>
      <x:c r="L286" s="173" t="str">
        <x:f t="shared" si="59"/>
        <x:v>0</x:v>
      </x:c>
      <x:c r="M286" s="173" t="str">
        <x:f t="shared" si="60"/>
        <x:v>0</x:v>
      </x:c>
      <x:c r="N286" s="173" t="str">
        <x:f t="shared" si="61"/>
        <x:v>0</x:v>
      </x:c>
      <x:c r="O286" s="173" t="str">
        <x:f t="shared" si="62"/>
        <x:v>0</x:v>
      </x:c>
      <x:c r="P286" s="173" t="str">
        <x:f t="shared" si="63"/>
        <x:v>0</x:v>
      </x:c>
      <x:c r="Q286" s="173" t="str">
        <x:f t="shared" si="64"/>
        <x:v>0</x:v>
      </x:c>
      <x:c r="R286" s="173" t="str">
        <x:f t="shared" si="65"/>
        <x:v>0</x:v>
      </x:c>
      <x:c r="S286" s="174">
        <x:v>2</x:v>
      </x:c>
      <x:c r="T286" s="174">
        <x:v>1</x:v>
      </x:c>
      <x:c r="U286" s="174">
        <x:v>2</x:v>
      </x:c>
      <x:c r="V286" s="174">
        <x:v>1</x:v>
      </x:c>
      <x:c r="W286" s="174">
        <x:v>2</x:v>
      </x:c>
      <x:c r="X286" s="174">
        <x:v>1</x:v>
      </x:c>
      <x:c r="Y286" s="174">
        <x:v>2</x:v>
      </x:c>
      <x:c r="Z286" s="174">
        <x:v>1</x:v>
      </x:c>
      <x:c r="AA286" s="174">
        <x:v>2</x:v>
      </x:c>
      <x:c r="AB286" s="174">
        <x:v>1</x:v>
      </x:c>
      <x:c r="AC286" s="174">
        <x:v>2</x:v>
      </x:c>
      <x:c r="AD286" s="175">
        <x:f t="shared" si="115"/>
        <x:v>0</x:v>
      </x:c>
      <x:c r="AE286" s="175">
        <x:f t="shared" si="115"/>
        <x:v>0</x:v>
      </x:c>
      <x:c r="AF286" s="175">
        <x:f t="shared" si="115"/>
        <x:v>0</x:v>
      </x:c>
      <x:c r="AG286" s="175">
        <x:f t="shared" si="115"/>
        <x:v>0</x:v>
      </x:c>
      <x:c r="AH286" s="175">
        <x:f t="shared" si="115"/>
        <x:v>0</x:v>
      </x:c>
      <x:c r="AI286" s="175">
        <x:f t="shared" si="115"/>
        <x:v>0</x:v>
      </x:c>
      <x:c r="AJ286" s="175">
        <x:f t="shared" si="115"/>
        <x:v>0</x:v>
      </x:c>
      <x:c r="AK286" s="175">
        <x:f t="shared" si="115"/>
        <x:v>0</x:v>
      </x:c>
      <x:c r="AL286" s="175">
        <x:f t="shared" si="115"/>
        <x:v>0</x:v>
      </x:c>
      <x:c r="AM286" s="175">
        <x:f t="shared" si="115"/>
        <x:v>0</x:v>
      </x:c>
      <x:c r="AN286" s="175">
        <x:f t="shared" si="115"/>
        <x:v>0</x:v>
      </x:c>
      <x:c r="AO286" s="176" t="str">
        <x:f t="shared" si="66"/>
        <x:v>0</x:v>
      </x:c>
      <x:c r="AP286" s="176" t="str">
        <x:f t="shared" si="67"/>
        <x:v>0</x:v>
      </x:c>
      <x:c r="AQ286" s="176" t="str">
        <x:f t="shared" si="68"/>
        <x:v>0</x:v>
      </x:c>
      <x:c r="AR286" s="176" t="str">
        <x:f t="shared" si="69"/>
        <x:v>0</x:v>
      </x:c>
      <x:c r="AS286" s="176" t="str">
        <x:f t="shared" si="70"/>
        <x:v>0</x:v>
      </x:c>
      <x:c r="AT286" s="176" t="str">
        <x:f t="shared" si="71"/>
        <x:v>0</x:v>
      </x:c>
      <x:c r="AU286" s="176" t="str">
        <x:f t="shared" si="72"/>
        <x:v>0</x:v>
      </x:c>
      <x:c r="AV286" s="176" t="str">
        <x:f t="shared" si="73"/>
        <x:v>0</x:v>
      </x:c>
      <x:c r="AW286" s="176" t="str">
        <x:f t="shared" si="74"/>
        <x:v>0</x:v>
      </x:c>
      <x:c r="AX286" s="176" t="str">
        <x:f t="shared" si="75"/>
        <x:v>0</x:v>
      </x:c>
      <x:c r="AY286" s="176" t="str">
        <x:f t="shared" si="76"/>
        <x:v>0</x:v>
      </x:c>
      <x:c r="AZ286" s="176" t="str">
        <x:f t="shared" si="77"/>
        <x:v>0</x:v>
      </x:c>
      <x:c r="BA286" s="176" t="str">
        <x:f t="shared" si="78"/>
        <x:v>0</x:v>
      </x:c>
      <x:c r="BB286" s="176" t="str">
        <x:f t="shared" si="79"/>
        <x:v>0</x:v>
      </x:c>
      <x:c r="BC286" s="176" t="str">
        <x:f t="shared" si="80"/>
        <x:v>0</x:v>
      </x:c>
      <x:c r="BD286" s="176" t="str">
        <x:f t="shared" si="81"/>
        <x:v>0</x:v>
      </x:c>
      <x:c r="BE286" s="176" t="str">
        <x:f t="shared" si="82"/>
        <x:v>0</x:v>
      </x:c>
      <x:c r="BF286" s="176" t="str">
        <x:f t="shared" si="83"/>
        <x:v>0</x:v>
      </x:c>
      <x:c r="BG286" s="176" t="str">
        <x:f t="shared" si="84"/>
        <x:v>0</x:v>
      </x:c>
      <x:c r="BH286" s="176" t="str">
        <x:f t="shared" si="85"/>
        <x:v>0</x:v>
      </x:c>
      <x:c r="BI286" s="176" t="str">
        <x:f t="shared" si="86"/>
        <x:v>0</x:v>
      </x:c>
      <x:c r="BJ286" s="176" t="str">
        <x:f t="shared" si="87"/>
        <x:v>0</x:v>
      </x:c>
      <x:c r="BK286" s="176"/>
      <x:c r="BL286" s="175">
        <x:f t="shared" si="88"/>
        <x:v>0</x:v>
      </x:c>
      <x:c r="BM286" s="177">
        <x:f t="shared" si="43"/>
        <x:v>0</x:v>
      </x:c>
      <x:c r="BN286" s="178">
        <x:f t="shared" si="108"/>
        <x:v>0</x:v>
      </x:c>
      <x:c r="BO286" s="179">
        <x:f t="shared" si="108"/>
        <x:v>0</x:v>
      </x:c>
    </x:row>
    <x:row r="287" s="162" customFormat="1" ht="19.899999618530273" hidden="1" customHeight="1">
      <x:c r="A287" s="170">
        <x:v>37</x:v>
      </x:c>
      <x:c r="B287" s="162" t="str">
        <x:f t="shared" ref="B287:C287" si="118">TEXT(B43,"00")</x:f>
      </x:c>
      <x:c r="C287" s="162" t="str">
        <x:f t="shared" si="118"/>
        <x:v>00</x:v>
      </x:c>
      <x:c r="D287" s="162" t="str">
        <x:f t="shared" si="5"/>
        <x:v>0000</x:v>
      </x:c>
      <x:c r="E287" s="162" t="str">
        <x:f t="shared" si="6"/>
        <x:v>000</x:v>
      </x:c>
      <x:c r="F287" s="171" t="str">
        <x:f t="shared" si="7"/>
        <x:v>0</x:v>
      </x:c>
      <x:c r="G287" s="172">
        <x:f t="shared" si="54"/>
        <x:v>0</x:v>
      </x:c>
      <x:c r="H287" s="173" t="str">
        <x:f t="shared" si="55"/>
        <x:v>0</x:v>
      </x:c>
      <x:c r="I287" s="173" t="str">
        <x:f t="shared" si="56"/>
        <x:v>0</x:v>
      </x:c>
      <x:c r="J287" s="173" t="str">
        <x:f t="shared" si="57"/>
        <x:v>0</x:v>
      </x:c>
      <x:c r="K287" s="173" t="str">
        <x:f t="shared" si="58"/>
        <x:v>0</x:v>
      </x:c>
      <x:c r="L287" s="173" t="str">
        <x:f t="shared" si="59"/>
        <x:v>0</x:v>
      </x:c>
      <x:c r="M287" s="173" t="str">
        <x:f t="shared" si="60"/>
        <x:v>0</x:v>
      </x:c>
      <x:c r="N287" s="173" t="str">
        <x:f t="shared" si="61"/>
        <x:v>0</x:v>
      </x:c>
      <x:c r="O287" s="173" t="str">
        <x:f t="shared" si="62"/>
        <x:v>0</x:v>
      </x:c>
      <x:c r="P287" s="173" t="str">
        <x:f t="shared" si="63"/>
        <x:v>0</x:v>
      </x:c>
      <x:c r="Q287" s="173" t="str">
        <x:f t="shared" si="64"/>
        <x:v>0</x:v>
      </x:c>
      <x:c r="R287" s="173" t="str">
        <x:f t="shared" si="65"/>
        <x:v>0</x:v>
      </x:c>
      <x:c r="S287" s="174">
        <x:v>2</x:v>
      </x:c>
      <x:c r="T287" s="174">
        <x:v>1</x:v>
      </x:c>
      <x:c r="U287" s="174">
        <x:v>2</x:v>
      </x:c>
      <x:c r="V287" s="174">
        <x:v>1</x:v>
      </x:c>
      <x:c r="W287" s="174">
        <x:v>2</x:v>
      </x:c>
      <x:c r="X287" s="174">
        <x:v>1</x:v>
      </x:c>
      <x:c r="Y287" s="174">
        <x:v>2</x:v>
      </x:c>
      <x:c r="Z287" s="174">
        <x:v>1</x:v>
      </x:c>
      <x:c r="AA287" s="174">
        <x:v>2</x:v>
      </x:c>
      <x:c r="AB287" s="174">
        <x:v>1</x:v>
      </x:c>
      <x:c r="AC287" s="174">
        <x:v>2</x:v>
      </x:c>
      <x:c r="AD287" s="175">
        <x:f t="shared" si="115"/>
        <x:v>0</x:v>
      </x:c>
      <x:c r="AE287" s="175">
        <x:f t="shared" si="115"/>
        <x:v>0</x:v>
      </x:c>
      <x:c r="AF287" s="175">
        <x:f t="shared" si="115"/>
        <x:v>0</x:v>
      </x:c>
      <x:c r="AG287" s="175">
        <x:f t="shared" si="115"/>
        <x:v>0</x:v>
      </x:c>
      <x:c r="AH287" s="175">
        <x:f t="shared" si="115"/>
        <x:v>0</x:v>
      </x:c>
      <x:c r="AI287" s="175">
        <x:f t="shared" si="115"/>
        <x:v>0</x:v>
      </x:c>
      <x:c r="AJ287" s="175">
        <x:f t="shared" si="115"/>
        <x:v>0</x:v>
      </x:c>
      <x:c r="AK287" s="175">
        <x:f t="shared" si="115"/>
        <x:v>0</x:v>
      </x:c>
      <x:c r="AL287" s="175">
        <x:f t="shared" si="115"/>
        <x:v>0</x:v>
      </x:c>
      <x:c r="AM287" s="175">
        <x:f t="shared" si="115"/>
        <x:v>0</x:v>
      </x:c>
      <x:c r="AN287" s="175">
        <x:f t="shared" si="115"/>
        <x:v>0</x:v>
      </x:c>
      <x:c r="AO287" s="176" t="str">
        <x:f t="shared" si="66"/>
        <x:v>0</x:v>
      </x:c>
      <x:c r="AP287" s="176" t="str">
        <x:f t="shared" si="67"/>
        <x:v>0</x:v>
      </x:c>
      <x:c r="AQ287" s="176" t="str">
        <x:f t="shared" si="68"/>
        <x:v>0</x:v>
      </x:c>
      <x:c r="AR287" s="176" t="str">
        <x:f t="shared" si="69"/>
        <x:v>0</x:v>
      </x:c>
      <x:c r="AS287" s="176" t="str">
        <x:f t="shared" si="70"/>
        <x:v>0</x:v>
      </x:c>
      <x:c r="AT287" s="176" t="str">
        <x:f t="shared" si="71"/>
        <x:v>0</x:v>
      </x:c>
      <x:c r="AU287" s="176" t="str">
        <x:f t="shared" si="72"/>
        <x:v>0</x:v>
      </x:c>
      <x:c r="AV287" s="176" t="str">
        <x:f t="shared" si="73"/>
        <x:v>0</x:v>
      </x:c>
      <x:c r="AW287" s="176" t="str">
        <x:f t="shared" si="74"/>
        <x:v>0</x:v>
      </x:c>
      <x:c r="AX287" s="176" t="str">
        <x:f t="shared" si="75"/>
        <x:v>0</x:v>
      </x:c>
      <x:c r="AY287" s="176" t="str">
        <x:f t="shared" si="76"/>
        <x:v>0</x:v>
      </x:c>
      <x:c r="AZ287" s="176" t="str">
        <x:f t="shared" si="77"/>
        <x:v>0</x:v>
      </x:c>
      <x:c r="BA287" s="176" t="str">
        <x:f t="shared" si="78"/>
        <x:v>0</x:v>
      </x:c>
      <x:c r="BB287" s="176" t="str">
        <x:f t="shared" si="79"/>
        <x:v>0</x:v>
      </x:c>
      <x:c r="BC287" s="176" t="str">
        <x:f t="shared" si="80"/>
        <x:v>0</x:v>
      </x:c>
      <x:c r="BD287" s="176" t="str">
        <x:f t="shared" si="81"/>
        <x:v>0</x:v>
      </x:c>
      <x:c r="BE287" s="176" t="str">
        <x:f t="shared" si="82"/>
        <x:v>0</x:v>
      </x:c>
      <x:c r="BF287" s="176" t="str">
        <x:f t="shared" si="83"/>
        <x:v>0</x:v>
      </x:c>
      <x:c r="BG287" s="176" t="str">
        <x:f t="shared" si="84"/>
        <x:v>0</x:v>
      </x:c>
      <x:c r="BH287" s="176" t="str">
        <x:f t="shared" si="85"/>
        <x:v>0</x:v>
      </x:c>
      <x:c r="BI287" s="176" t="str">
        <x:f t="shared" si="86"/>
        <x:v>0</x:v>
      </x:c>
      <x:c r="BJ287" s="176" t="str">
        <x:f t="shared" si="87"/>
        <x:v>0</x:v>
      </x:c>
      <x:c r="BK287" s="176"/>
      <x:c r="BL287" s="175">
        <x:f t="shared" si="88"/>
        <x:v>0</x:v>
      </x:c>
      <x:c r="BM287" s="177">
        <x:f t="shared" si="43"/>
        <x:v>0</x:v>
      </x:c>
      <x:c r="BN287" s="178">
        <x:f t="shared" si="108"/>
        <x:v>0</x:v>
      </x:c>
      <x:c r="BO287" s="179">
        <x:f t="shared" si="108"/>
        <x:v>0</x:v>
      </x:c>
    </x:row>
    <x:row r="288" s="162" customFormat="1" ht="19.899999618530273" hidden="1" customHeight="1">
      <x:c r="A288" s="170">
        <x:v>38</x:v>
      </x:c>
      <x:c r="B288" s="162" t="str">
        <x:f t="shared" ref="B288:C288" si="119">TEXT(B44,"00")</x:f>
      </x:c>
      <x:c r="C288" s="162" t="str">
        <x:f t="shared" si="119"/>
        <x:v>00</x:v>
      </x:c>
      <x:c r="D288" s="162" t="str">
        <x:f t="shared" si="5"/>
        <x:v>0000</x:v>
      </x:c>
      <x:c r="E288" s="162" t="str">
        <x:f t="shared" si="6"/>
        <x:v>000</x:v>
      </x:c>
      <x:c r="F288" s="171" t="str">
        <x:f t="shared" si="7"/>
        <x:v>0</x:v>
      </x:c>
      <x:c r="G288" s="172">
        <x:f t="shared" si="54"/>
        <x:v>0</x:v>
      </x:c>
      <x:c r="H288" s="173" t="str">
        <x:f t="shared" si="55"/>
        <x:v>0</x:v>
      </x:c>
      <x:c r="I288" s="173" t="str">
        <x:f t="shared" si="56"/>
        <x:v>0</x:v>
      </x:c>
      <x:c r="J288" s="173" t="str">
        <x:f t="shared" si="57"/>
        <x:v>0</x:v>
      </x:c>
      <x:c r="K288" s="173" t="str">
        <x:f t="shared" si="58"/>
        <x:v>0</x:v>
      </x:c>
      <x:c r="L288" s="173" t="str">
        <x:f t="shared" si="59"/>
        <x:v>0</x:v>
      </x:c>
      <x:c r="M288" s="173" t="str">
        <x:f t="shared" si="60"/>
        <x:v>0</x:v>
      </x:c>
      <x:c r="N288" s="173" t="str">
        <x:f t="shared" si="61"/>
        <x:v>0</x:v>
      </x:c>
      <x:c r="O288" s="173" t="str">
        <x:f t="shared" si="62"/>
        <x:v>0</x:v>
      </x:c>
      <x:c r="P288" s="173" t="str">
        <x:f t="shared" si="63"/>
        <x:v>0</x:v>
      </x:c>
      <x:c r="Q288" s="173" t="str">
        <x:f t="shared" si="64"/>
        <x:v>0</x:v>
      </x:c>
      <x:c r="R288" s="173" t="str">
        <x:f t="shared" si="65"/>
        <x:v>0</x:v>
      </x:c>
      <x:c r="S288" s="174">
        <x:v>2</x:v>
      </x:c>
      <x:c r="T288" s="174">
        <x:v>1</x:v>
      </x:c>
      <x:c r="U288" s="174">
        <x:v>2</x:v>
      </x:c>
      <x:c r="V288" s="174">
        <x:v>1</x:v>
      </x:c>
      <x:c r="W288" s="174">
        <x:v>2</x:v>
      </x:c>
      <x:c r="X288" s="174">
        <x:v>1</x:v>
      </x:c>
      <x:c r="Y288" s="174">
        <x:v>2</x:v>
      </x:c>
      <x:c r="Z288" s="174">
        <x:v>1</x:v>
      </x:c>
      <x:c r="AA288" s="174">
        <x:v>2</x:v>
      </x:c>
      <x:c r="AB288" s="174">
        <x:v>1</x:v>
      </x:c>
      <x:c r="AC288" s="174">
        <x:v>2</x:v>
      </x:c>
      <x:c r="AD288" s="175">
        <x:f t="shared" si="115"/>
        <x:v>0</x:v>
      </x:c>
      <x:c r="AE288" s="175">
        <x:f t="shared" si="115"/>
        <x:v>0</x:v>
      </x:c>
      <x:c r="AF288" s="175">
        <x:f t="shared" si="115"/>
        <x:v>0</x:v>
      </x:c>
      <x:c r="AG288" s="175">
        <x:f t="shared" si="115"/>
        <x:v>0</x:v>
      </x:c>
      <x:c r="AH288" s="175">
        <x:f t="shared" si="115"/>
        <x:v>0</x:v>
      </x:c>
      <x:c r="AI288" s="175">
        <x:f t="shared" si="115"/>
        <x:v>0</x:v>
      </x:c>
      <x:c r="AJ288" s="175">
        <x:f t="shared" si="115"/>
        <x:v>0</x:v>
      </x:c>
      <x:c r="AK288" s="175">
        <x:f t="shared" si="115"/>
        <x:v>0</x:v>
      </x:c>
      <x:c r="AL288" s="175">
        <x:f t="shared" si="115"/>
        <x:v>0</x:v>
      </x:c>
      <x:c r="AM288" s="175">
        <x:f t="shared" si="115"/>
        <x:v>0</x:v>
      </x:c>
      <x:c r="AN288" s="175">
        <x:f t="shared" si="115"/>
        <x:v>0</x:v>
      </x:c>
      <x:c r="AO288" s="176" t="str">
        <x:f t="shared" si="66"/>
        <x:v>0</x:v>
      </x:c>
      <x:c r="AP288" s="176" t="str">
        <x:f t="shared" si="67"/>
        <x:v>0</x:v>
      </x:c>
      <x:c r="AQ288" s="176" t="str">
        <x:f t="shared" si="68"/>
        <x:v>0</x:v>
      </x:c>
      <x:c r="AR288" s="176" t="str">
        <x:f t="shared" si="69"/>
        <x:v>0</x:v>
      </x:c>
      <x:c r="AS288" s="176" t="str">
        <x:f t="shared" si="70"/>
        <x:v>0</x:v>
      </x:c>
      <x:c r="AT288" s="176" t="str">
        <x:f t="shared" si="71"/>
        <x:v>0</x:v>
      </x:c>
      <x:c r="AU288" s="176" t="str">
        <x:f t="shared" si="72"/>
        <x:v>0</x:v>
      </x:c>
      <x:c r="AV288" s="176" t="str">
        <x:f t="shared" si="73"/>
        <x:v>0</x:v>
      </x:c>
      <x:c r="AW288" s="176" t="str">
        <x:f t="shared" si="74"/>
        <x:v>0</x:v>
      </x:c>
      <x:c r="AX288" s="176" t="str">
        <x:f t="shared" si="75"/>
        <x:v>0</x:v>
      </x:c>
      <x:c r="AY288" s="176" t="str">
        <x:f t="shared" si="76"/>
        <x:v>0</x:v>
      </x:c>
      <x:c r="AZ288" s="176" t="str">
        <x:f t="shared" si="77"/>
        <x:v>0</x:v>
      </x:c>
      <x:c r="BA288" s="176" t="str">
        <x:f t="shared" si="78"/>
        <x:v>0</x:v>
      </x:c>
      <x:c r="BB288" s="176" t="str">
        <x:f t="shared" si="79"/>
        <x:v>0</x:v>
      </x:c>
      <x:c r="BC288" s="176" t="str">
        <x:f t="shared" si="80"/>
        <x:v>0</x:v>
      </x:c>
      <x:c r="BD288" s="176" t="str">
        <x:f t="shared" si="81"/>
        <x:v>0</x:v>
      </x:c>
      <x:c r="BE288" s="176" t="str">
        <x:f t="shared" si="82"/>
        <x:v>0</x:v>
      </x:c>
      <x:c r="BF288" s="176" t="str">
        <x:f t="shared" si="83"/>
        <x:v>0</x:v>
      </x:c>
      <x:c r="BG288" s="176" t="str">
        <x:f t="shared" si="84"/>
        <x:v>0</x:v>
      </x:c>
      <x:c r="BH288" s="176" t="str">
        <x:f t="shared" si="85"/>
        <x:v>0</x:v>
      </x:c>
      <x:c r="BI288" s="176" t="str">
        <x:f t="shared" si="86"/>
        <x:v>0</x:v>
      </x:c>
      <x:c r="BJ288" s="176" t="str">
        <x:f t="shared" si="87"/>
        <x:v>0</x:v>
      </x:c>
      <x:c r="BK288" s="176"/>
      <x:c r="BL288" s="175">
        <x:f t="shared" si="88"/>
        <x:v>0</x:v>
      </x:c>
      <x:c r="BM288" s="177">
        <x:f t="shared" si="43"/>
        <x:v>0</x:v>
      </x:c>
      <x:c r="BN288" s="178">
        <x:f t="shared" si="108"/>
        <x:v>0</x:v>
      </x:c>
      <x:c r="BO288" s="179">
        <x:f t="shared" si="108"/>
        <x:v>0</x:v>
      </x:c>
    </x:row>
    <x:row r="289" s="162" customFormat="1" ht="19.899999618530273" hidden="1" customHeight="1">
      <x:c r="A289" s="170">
        <x:v>39</x:v>
      </x:c>
      <x:c r="B289" s="162" t="str">
        <x:f t="shared" ref="B289:C289" si="120">TEXT(B45,"00")</x:f>
      </x:c>
      <x:c r="C289" s="162" t="str">
        <x:f t="shared" si="120"/>
        <x:v>00</x:v>
      </x:c>
      <x:c r="D289" s="162" t="str">
        <x:f t="shared" si="5"/>
        <x:v>0000</x:v>
      </x:c>
      <x:c r="E289" s="162" t="str">
        <x:f t="shared" si="6"/>
        <x:v>000</x:v>
      </x:c>
      <x:c r="F289" s="171" t="str">
        <x:f t="shared" si="7"/>
        <x:v>0</x:v>
      </x:c>
      <x:c r="G289" s="172">
        <x:f t="shared" si="54"/>
        <x:v>0</x:v>
      </x:c>
      <x:c r="H289" s="173" t="str">
        <x:f t="shared" si="55"/>
        <x:v>0</x:v>
      </x:c>
      <x:c r="I289" s="173" t="str">
        <x:f t="shared" si="56"/>
        <x:v>0</x:v>
      </x:c>
      <x:c r="J289" s="173" t="str">
        <x:f t="shared" si="57"/>
        <x:v>0</x:v>
      </x:c>
      <x:c r="K289" s="173" t="str">
        <x:f t="shared" si="58"/>
        <x:v>0</x:v>
      </x:c>
      <x:c r="L289" s="173" t="str">
        <x:f t="shared" si="59"/>
        <x:v>0</x:v>
      </x:c>
      <x:c r="M289" s="173" t="str">
        <x:f t="shared" si="60"/>
        <x:v>0</x:v>
      </x:c>
      <x:c r="N289" s="173" t="str">
        <x:f t="shared" si="61"/>
        <x:v>0</x:v>
      </x:c>
      <x:c r="O289" s="173" t="str">
        <x:f t="shared" si="62"/>
        <x:v>0</x:v>
      </x:c>
      <x:c r="P289" s="173" t="str">
        <x:f t="shared" si="63"/>
        <x:v>0</x:v>
      </x:c>
      <x:c r="Q289" s="173" t="str">
        <x:f t="shared" si="64"/>
        <x:v>0</x:v>
      </x:c>
      <x:c r="R289" s="173" t="str">
        <x:f t="shared" si="65"/>
        <x:v>0</x:v>
      </x:c>
      <x:c r="S289" s="174">
        <x:v>2</x:v>
      </x:c>
      <x:c r="T289" s="174">
        <x:v>1</x:v>
      </x:c>
      <x:c r="U289" s="174">
        <x:v>2</x:v>
      </x:c>
      <x:c r="V289" s="174">
        <x:v>1</x:v>
      </x:c>
      <x:c r="W289" s="174">
        <x:v>2</x:v>
      </x:c>
      <x:c r="X289" s="174">
        <x:v>1</x:v>
      </x:c>
      <x:c r="Y289" s="174">
        <x:v>2</x:v>
      </x:c>
      <x:c r="Z289" s="174">
        <x:v>1</x:v>
      </x:c>
      <x:c r="AA289" s="174">
        <x:v>2</x:v>
      </x:c>
      <x:c r="AB289" s="174">
        <x:v>1</x:v>
      </x:c>
      <x:c r="AC289" s="174">
        <x:v>2</x:v>
      </x:c>
      <x:c r="AD289" s="175">
        <x:f t="shared" si="115"/>
        <x:v>0</x:v>
      </x:c>
      <x:c r="AE289" s="175">
        <x:f t="shared" si="115"/>
        <x:v>0</x:v>
      </x:c>
      <x:c r="AF289" s="175">
        <x:f t="shared" si="115"/>
        <x:v>0</x:v>
      </x:c>
      <x:c r="AG289" s="175">
        <x:f t="shared" si="115"/>
        <x:v>0</x:v>
      </x:c>
      <x:c r="AH289" s="175">
        <x:f t="shared" si="115"/>
        <x:v>0</x:v>
      </x:c>
      <x:c r="AI289" s="175">
        <x:f t="shared" si="115"/>
        <x:v>0</x:v>
      </x:c>
      <x:c r="AJ289" s="175">
        <x:f t="shared" si="115"/>
        <x:v>0</x:v>
      </x:c>
      <x:c r="AK289" s="175">
        <x:f t="shared" si="115"/>
        <x:v>0</x:v>
      </x:c>
      <x:c r="AL289" s="175">
        <x:f t="shared" si="115"/>
        <x:v>0</x:v>
      </x:c>
      <x:c r="AM289" s="175">
        <x:f t="shared" si="115"/>
        <x:v>0</x:v>
      </x:c>
      <x:c r="AN289" s="175">
        <x:f t="shared" si="115"/>
        <x:v>0</x:v>
      </x:c>
      <x:c r="AO289" s="176" t="str">
        <x:f t="shared" si="66"/>
        <x:v>0</x:v>
      </x:c>
      <x:c r="AP289" s="176" t="str">
        <x:f t="shared" si="67"/>
        <x:v>0</x:v>
      </x:c>
      <x:c r="AQ289" s="176" t="str">
        <x:f t="shared" si="68"/>
        <x:v>0</x:v>
      </x:c>
      <x:c r="AR289" s="176" t="str">
        <x:f t="shared" si="69"/>
        <x:v>0</x:v>
      </x:c>
      <x:c r="AS289" s="176" t="str">
        <x:f t="shared" si="70"/>
        <x:v>0</x:v>
      </x:c>
      <x:c r="AT289" s="176" t="str">
        <x:f t="shared" si="71"/>
        <x:v>0</x:v>
      </x:c>
      <x:c r="AU289" s="176" t="str">
        <x:f t="shared" si="72"/>
        <x:v>0</x:v>
      </x:c>
      <x:c r="AV289" s="176" t="str">
        <x:f t="shared" si="73"/>
        <x:v>0</x:v>
      </x:c>
      <x:c r="AW289" s="176" t="str">
        <x:f t="shared" si="74"/>
        <x:v>0</x:v>
      </x:c>
      <x:c r="AX289" s="176" t="str">
        <x:f t="shared" si="75"/>
        <x:v>0</x:v>
      </x:c>
      <x:c r="AY289" s="176" t="str">
        <x:f t="shared" si="76"/>
        <x:v>0</x:v>
      </x:c>
      <x:c r="AZ289" s="176" t="str">
        <x:f t="shared" si="77"/>
        <x:v>0</x:v>
      </x:c>
      <x:c r="BA289" s="176" t="str">
        <x:f t="shared" si="78"/>
        <x:v>0</x:v>
      </x:c>
      <x:c r="BB289" s="176" t="str">
        <x:f t="shared" si="79"/>
        <x:v>0</x:v>
      </x:c>
      <x:c r="BC289" s="176" t="str">
        <x:f t="shared" si="80"/>
        <x:v>0</x:v>
      </x:c>
      <x:c r="BD289" s="176" t="str">
        <x:f t="shared" si="81"/>
        <x:v>0</x:v>
      </x:c>
      <x:c r="BE289" s="176" t="str">
        <x:f t="shared" si="82"/>
        <x:v>0</x:v>
      </x:c>
      <x:c r="BF289" s="176" t="str">
        <x:f t="shared" si="83"/>
        <x:v>0</x:v>
      </x:c>
      <x:c r="BG289" s="176" t="str">
        <x:f t="shared" si="84"/>
        <x:v>0</x:v>
      </x:c>
      <x:c r="BH289" s="176" t="str">
        <x:f t="shared" si="85"/>
        <x:v>0</x:v>
      </x:c>
      <x:c r="BI289" s="176" t="str">
        <x:f t="shared" si="86"/>
        <x:v>0</x:v>
      </x:c>
      <x:c r="BJ289" s="176" t="str">
        <x:f t="shared" si="87"/>
        <x:v>0</x:v>
      </x:c>
      <x:c r="BK289" s="176"/>
      <x:c r="BL289" s="175">
        <x:f t="shared" si="88"/>
        <x:v>0</x:v>
      </x:c>
      <x:c r="BM289" s="177">
        <x:f t="shared" si="43"/>
        <x:v>0</x:v>
      </x:c>
      <x:c r="BN289" s="178">
        <x:f t="shared" si="108"/>
        <x:v>0</x:v>
      </x:c>
      <x:c r="BO289" s="179">
        <x:f t="shared" si="108"/>
        <x:v>0</x:v>
      </x:c>
    </x:row>
    <x:row r="290" s="162" customFormat="1" ht="19.899999618530273" hidden="1" customHeight="1">
      <x:c r="A290" s="170">
        <x:v>40</x:v>
      </x:c>
      <x:c r="B290" s="162" t="str">
        <x:f t="shared" ref="B290:C290" si="121">TEXT(B46,"00")</x:f>
      </x:c>
      <x:c r="C290" s="162" t="str">
        <x:f t="shared" si="121"/>
        <x:v>00</x:v>
      </x:c>
      <x:c r="D290" s="162" t="str">
        <x:f t="shared" si="5"/>
        <x:v>0000</x:v>
      </x:c>
      <x:c r="E290" s="162" t="str">
        <x:f t="shared" si="6"/>
        <x:v>000</x:v>
      </x:c>
      <x:c r="F290" s="171" t="str">
        <x:f t="shared" si="7"/>
        <x:v>0</x:v>
      </x:c>
      <x:c r="G290" s="172">
        <x:f t="shared" si="54"/>
        <x:v>0</x:v>
      </x:c>
      <x:c r="H290" s="173" t="str">
        <x:f t="shared" si="55"/>
        <x:v>0</x:v>
      </x:c>
      <x:c r="I290" s="173" t="str">
        <x:f t="shared" si="56"/>
        <x:v>0</x:v>
      </x:c>
      <x:c r="J290" s="173" t="str">
        <x:f t="shared" si="57"/>
        <x:v>0</x:v>
      </x:c>
      <x:c r="K290" s="173" t="str">
        <x:f t="shared" si="58"/>
        <x:v>0</x:v>
      </x:c>
      <x:c r="L290" s="173" t="str">
        <x:f t="shared" si="59"/>
        <x:v>0</x:v>
      </x:c>
      <x:c r="M290" s="173" t="str">
        <x:f t="shared" si="60"/>
        <x:v>0</x:v>
      </x:c>
      <x:c r="N290" s="173" t="str">
        <x:f t="shared" si="61"/>
        <x:v>0</x:v>
      </x:c>
      <x:c r="O290" s="173" t="str">
        <x:f t="shared" si="62"/>
        <x:v>0</x:v>
      </x:c>
      <x:c r="P290" s="173" t="str">
        <x:f t="shared" si="63"/>
        <x:v>0</x:v>
      </x:c>
      <x:c r="Q290" s="173" t="str">
        <x:f t="shared" si="64"/>
        <x:v>0</x:v>
      </x:c>
      <x:c r="R290" s="173" t="str">
        <x:f t="shared" si="65"/>
        <x:v>0</x:v>
      </x:c>
      <x:c r="S290" s="174">
        <x:v>2</x:v>
      </x:c>
      <x:c r="T290" s="174">
        <x:v>1</x:v>
      </x:c>
      <x:c r="U290" s="174">
        <x:v>2</x:v>
      </x:c>
      <x:c r="V290" s="174">
        <x:v>1</x:v>
      </x:c>
      <x:c r="W290" s="174">
        <x:v>2</x:v>
      </x:c>
      <x:c r="X290" s="174">
        <x:v>1</x:v>
      </x:c>
      <x:c r="Y290" s="174">
        <x:v>2</x:v>
      </x:c>
      <x:c r="Z290" s="174">
        <x:v>1</x:v>
      </x:c>
      <x:c r="AA290" s="174">
        <x:v>2</x:v>
      </x:c>
      <x:c r="AB290" s="174">
        <x:v>1</x:v>
      </x:c>
      <x:c r="AC290" s="174">
        <x:v>2</x:v>
      </x:c>
      <x:c r="AD290" s="175">
        <x:f t="shared" si="115"/>
        <x:v>0</x:v>
      </x:c>
      <x:c r="AE290" s="175">
        <x:f t="shared" si="115"/>
        <x:v>0</x:v>
      </x:c>
      <x:c r="AF290" s="175">
        <x:f t="shared" si="115"/>
        <x:v>0</x:v>
      </x:c>
      <x:c r="AG290" s="175">
        <x:f t="shared" si="115"/>
        <x:v>0</x:v>
      </x:c>
      <x:c r="AH290" s="175">
        <x:f t="shared" si="115"/>
        <x:v>0</x:v>
      </x:c>
      <x:c r="AI290" s="175">
        <x:f t="shared" si="115"/>
        <x:v>0</x:v>
      </x:c>
      <x:c r="AJ290" s="175">
        <x:f t="shared" si="115"/>
        <x:v>0</x:v>
      </x:c>
      <x:c r="AK290" s="175">
        <x:f t="shared" si="115"/>
        <x:v>0</x:v>
      </x:c>
      <x:c r="AL290" s="175">
        <x:f t="shared" si="115"/>
        <x:v>0</x:v>
      </x:c>
      <x:c r="AM290" s="175">
        <x:f t="shared" si="115"/>
        <x:v>0</x:v>
      </x:c>
      <x:c r="AN290" s="175">
        <x:f t="shared" si="115"/>
        <x:v>0</x:v>
      </x:c>
      <x:c r="AO290" s="176" t="str">
        <x:f t="shared" si="66"/>
        <x:v>0</x:v>
      </x:c>
      <x:c r="AP290" s="176" t="str">
        <x:f t="shared" si="67"/>
        <x:v>0</x:v>
      </x:c>
      <x:c r="AQ290" s="176" t="str">
        <x:f t="shared" si="68"/>
        <x:v>0</x:v>
      </x:c>
      <x:c r="AR290" s="176" t="str">
        <x:f t="shared" si="69"/>
        <x:v>0</x:v>
      </x:c>
      <x:c r="AS290" s="176" t="str">
        <x:f t="shared" si="70"/>
        <x:v>0</x:v>
      </x:c>
      <x:c r="AT290" s="176" t="str">
        <x:f t="shared" si="71"/>
        <x:v>0</x:v>
      </x:c>
      <x:c r="AU290" s="176" t="str">
        <x:f t="shared" si="72"/>
        <x:v>0</x:v>
      </x:c>
      <x:c r="AV290" s="176" t="str">
        <x:f t="shared" si="73"/>
        <x:v>0</x:v>
      </x:c>
      <x:c r="AW290" s="176" t="str">
        <x:f t="shared" si="74"/>
        <x:v>0</x:v>
      </x:c>
      <x:c r="AX290" s="176" t="str">
        <x:f t="shared" si="75"/>
        <x:v>0</x:v>
      </x:c>
      <x:c r="AY290" s="176" t="str">
        <x:f t="shared" si="76"/>
        <x:v>0</x:v>
      </x:c>
      <x:c r="AZ290" s="176" t="str">
        <x:f t="shared" si="77"/>
        <x:v>0</x:v>
      </x:c>
      <x:c r="BA290" s="176" t="str">
        <x:f t="shared" si="78"/>
        <x:v>0</x:v>
      </x:c>
      <x:c r="BB290" s="176" t="str">
        <x:f t="shared" si="79"/>
        <x:v>0</x:v>
      </x:c>
      <x:c r="BC290" s="176" t="str">
        <x:f t="shared" si="80"/>
        <x:v>0</x:v>
      </x:c>
      <x:c r="BD290" s="176" t="str">
        <x:f t="shared" si="81"/>
        <x:v>0</x:v>
      </x:c>
      <x:c r="BE290" s="176" t="str">
        <x:f t="shared" si="82"/>
        <x:v>0</x:v>
      </x:c>
      <x:c r="BF290" s="176" t="str">
        <x:f t="shared" si="83"/>
        <x:v>0</x:v>
      </x:c>
      <x:c r="BG290" s="176" t="str">
        <x:f t="shared" si="84"/>
        <x:v>0</x:v>
      </x:c>
      <x:c r="BH290" s="176" t="str">
        <x:f t="shared" si="85"/>
        <x:v>0</x:v>
      </x:c>
      <x:c r="BI290" s="176" t="str">
        <x:f t="shared" si="86"/>
        <x:v>0</x:v>
      </x:c>
      <x:c r="BJ290" s="176" t="str">
        <x:f t="shared" si="87"/>
        <x:v>0</x:v>
      </x:c>
      <x:c r="BK290" s="176"/>
      <x:c r="BL290" s="175">
        <x:f t="shared" si="88"/>
        <x:v>0</x:v>
      </x:c>
      <x:c r="BM290" s="177">
        <x:f t="shared" si="43"/>
        <x:v>0</x:v>
      </x:c>
      <x:c r="BN290" s="178">
        <x:f t="shared" si="108"/>
        <x:v>0</x:v>
      </x:c>
      <x:c r="BO290" s="179">
        <x:f t="shared" si="108"/>
        <x:v>0</x:v>
      </x:c>
    </x:row>
  </x:sheetData>
  <x:mergeCells>
    <x:mergeCell ref="Y1:AG242"/>
    <x:mergeCell ref="A56:X242"/>
    <x:mergeCell ref="A1:K1"/>
    <x:mergeCell ref="L1:X1"/>
    <x:mergeCell ref="P2:X3"/>
    <x:mergeCell ref="B4:F4"/>
    <x:mergeCell ref="H4:I4"/>
    <x:mergeCell ref="N4:O4"/>
    <x:mergeCell ref="A48:F48"/>
    <x:mergeCell ref="A51:H51"/>
    <x:mergeCell ref="A2:B2"/>
    <x:mergeCell ref="C2:I2"/>
    <x:mergeCell ref="K2:O2"/>
    <x:mergeCell ref="A3:B3"/>
    <x:mergeCell ref="C3:I3"/>
    <x:mergeCell ref="A55:H55"/>
    <x:mergeCell ref="R55:V55"/>
    <x:mergeCell ref="W53:X53"/>
    <x:mergeCell ref="V44:X44"/>
    <x:mergeCell ref="V45:X45"/>
    <x:mergeCell ref="V28:X28"/>
    <x:mergeCell ref="A49:H49"/>
    <x:mergeCell ref="K3:O3"/>
    <x:mergeCell ref="A53:H53"/>
    <x:mergeCell ref="A5:A6"/>
    <x:mergeCell ref="B5:B6"/>
    <x:mergeCell ref="C5:C6"/>
    <x:mergeCell ref="W54:X54"/>
    <x:mergeCell ref="W55:X55"/>
    <x:mergeCell ref="R54:V54"/>
    <x:mergeCell ref="A50:H50"/>
    <x:mergeCell ref="I50:J50"/>
    <x:mergeCell ref="A52:H52"/>
    <x:mergeCell ref="I51:J51"/>
    <x:mergeCell ref="I55:J55"/>
    <x:mergeCell ref="I52:J52"/>
    <x:mergeCell ref="I53:J53"/>
    <x:mergeCell ref="M54:P54"/>
    <x:mergeCell ref="M55:P55"/>
    <x:mergeCell ref="A54:H54"/>
    <x:mergeCell ref="I54:J54"/>
    <x:mergeCell ref="M53:P53"/>
    <x:mergeCell ref="R52:V52"/>
    <x:mergeCell ref="R53:V53"/>
    <x:mergeCell ref="W52:X52"/>
    <x:mergeCell ref="H5:H6"/>
    <x:mergeCell ref="I5:I6"/>
    <x:mergeCell ref="V8:X8"/>
    <x:mergeCell ref="V10:X10"/>
    <x:mergeCell ref="V11:X11"/>
    <x:mergeCell ref="V12:X12"/>
    <x:mergeCell ref="V13:X13"/>
    <x:mergeCell ref="V36:X36"/>
    <x:mergeCell ref="V37:X37"/>
    <x:mergeCell ref="V7:X7"/>
    <x:mergeCell ref="G5:G6"/>
    <x:mergeCell ref="F5:F6"/>
    <x:mergeCell ref="V38:X38"/>
    <x:mergeCell ref="V40:X40"/>
    <x:mergeCell ref="V39:X39"/>
    <x:mergeCell ref="I49:J49"/>
    <x:mergeCell ref="Q5:Q6"/>
    <x:mergeCell ref="T4:T6"/>
    <x:mergeCell ref="V46:X46"/>
    <x:mergeCell ref="V41:X41"/>
    <x:mergeCell ref="V42:X42"/>
    <x:mergeCell ref="V43:X43"/>
    <x:mergeCell ref="P48:X51"/>
    <x:mergeCell ref="V24:X24"/>
    <x:mergeCell ref="J4:J6"/>
    <x:mergeCell ref="P5:P6"/>
    <x:mergeCell ref="P47:X47"/>
    <x:mergeCell ref="V14:X14"/>
    <x:mergeCell ref="V9:X9"/>
    <x:mergeCell ref="R4:S6"/>
    <x:mergeCell ref="V26:X26"/>
    <x:mergeCell ref="V27:X27"/>
    <x:mergeCell ref="U4:U6"/>
    <x:mergeCell ref="V4:X4"/>
    <x:mergeCell ref="V5:X6"/>
    <x:mergeCell ref="D5:D6"/>
    <x:mergeCell ref="E5:E6"/>
    <x:mergeCell ref="O5:O6"/>
    <x:mergeCell ref="V31:X31"/>
    <x:mergeCell ref="V32:X32"/>
    <x:mergeCell ref="V33:X33"/>
    <x:mergeCell ref="V34:X34"/>
    <x:mergeCell ref="V35:X35"/>
    <x:mergeCell ref="V29:X29"/>
    <x:mergeCell ref="V30:X30"/>
    <x:mergeCell ref="V18:X18"/>
    <x:mergeCell ref="V19:X19"/>
    <x:mergeCell ref="V20:X20"/>
    <x:mergeCell ref="V15:X15"/>
    <x:mergeCell ref="V21:X21"/>
    <x:mergeCell ref="V22:X22"/>
    <x:mergeCell ref="V23:X23"/>
    <x:mergeCell ref="K5:K6"/>
    <x:mergeCell ref="L5:L6"/>
    <x:mergeCell ref="M5:M6"/>
    <x:mergeCell ref="N5:N6"/>
    <x:mergeCell ref="V25:X25"/>
    <x:mergeCell ref="V16:X16"/>
    <x:mergeCell ref="V17:X17"/>
  </x:mergeCells>
  <x:conditionalFormatting sqref="B7:F46">
    <x:cfRule type="expression" dxfId="46" priority="46">
      <x:formula>AND(COUNTA($B7:$L7,$N7:$V7)&gt;0,COUNTBLANK($B7:$F7)&gt;0)</x:formula>
    </x:cfRule>
  </x:conditionalFormatting>
  <x:conditionalFormatting sqref="G7:V46">
    <x:cfRule type="expression" dxfId="47" priority="47">
      <x:formula>AND(COUNTA($B7:$L7,$N7:$V7)&gt;0,OR($G7="",$J7="",$K7="",SUM($N7:$O7)=0))</x:formula>
    </x:cfRule>
  </x:conditionalFormatting>
  <x:conditionalFormatting sqref="M7:M46">
    <x:cfRule type="expression" dxfId="48" priority="48">
      <x:formula>AND(COUNTA($B7:$L7,$N7:$V7)&gt;0,$M7=0)</x:formula>
    </x:cfRule>
  </x:conditionalFormatting>
  <x:conditionalFormatting sqref="F7:F46">
    <x:cfRule type="expression" dxfId="51" priority="49">
      <x:formula>AND($F7&lt;&gt;"",$F7&lt;&gt;INDEX($G$251:$G$290,ROW()-6))</x:formula>
    </x:cfRule>
  </x:conditionalFormatting>
  <x:dataValidations count="10">
    <x:dataValidation type="whole" errorStyle="warning" operator="between" allowBlank="1" showErrorMessage="1" errorTitle="Ungültige Wagennummer" error="Zweistellige Wagennummern-Teile 00–99 eintragen." sqref="B7:C46">
      <x:formula1>0</x:formula1>
      <x:formula2>99</x:formula2>
    </x:dataValidation>
    <x:dataValidation type="whole" errorStyle="warning" operator="between" allowBlank="1" showErrorMessage="1" errorTitle="Ungültige Wagennummer" error="Vierstelligen Wagennummern-Teil 0000–9999 eintragen." sqref="D7:D46">
      <x:formula1>0</x:formula1>
      <x:formula2>9999</x:formula2>
    </x:dataValidation>
    <x:dataValidation type="whole" errorStyle="warning" operator="between" allowBlank="1" showErrorMessage="1" errorTitle="Ungültige Wagennummer" error="Dreistelligen Wagennummern-Teil 000–999 eintragen." sqref="E7:E46">
      <x:formula1>0</x:formula1>
      <x:formula2>999</x:formula2>
    </x:dataValidation>
    <x:dataValidation type="whole" errorStyle="warning" operator="between" allowBlank="1" showErrorMessage="1" errorTitle="Ungültige Wagennummer" error="Prüfziffer 0–9 eintragen." sqref="F7:F46">
      <x:formula1>0</x:formula1>
      <x:formula2>9</x:formula2>
    </x:dataValidation>
    <x:dataValidation type="decimal" errorStyle="warning" operator="between" allowBlank="1" showErrorMessage="1" errorTitle="Ungültiger Zahlenwert" error="Achsen als ganze Zahl eintragen." sqref="H7:I46">
      <x:formula1>0</x:formula1>
      <x:formula2>40</x:formula2>
    </x:dataValidation>
    <x:dataValidation type="decimal" errorStyle="warning" operator="between" allowBlank="1" showErrorMessage="1" errorTitle="Ungültiger Zahlenwert" error="Länge über Puffer in Metern eintragen." sqref="J7:J46">
      <x:formula1>0</x:formula1>
      <x:formula2>999</x:formula2>
    </x:dataValidation>
    <x:dataValidation type="decimal" errorStyle="warning" operator="between" allowBlank="1" showErrorMessage="1" errorTitle="Ungültiger Zahlenwert" error="Gewicht/Bremsgewicht als Zahl in Tonnen eintragen." sqref="K7:O46">
      <x:formula1>0</x:formula1>
      <x:formula2>9999</x:formula2>
    </x:dataValidation>
    <x:dataValidation type="decimal" errorStyle="warning" operator="between" allowBlank="1" showErrorMessage="1" errorTitle="Ungültiger Zahlenwert" error="Feststellbremse in kN als Zahl eintragen." sqref="T7:T46">
      <x:formula1>0</x:formula1>
      <x:formula2>999</x:formula2>
    </x:dataValidation>
    <x:dataValidation errorStyle="warning" showErrorMessage="1" errorTitle="Ungültige Bremssohle" error="Bitte K, L oder LL auswählen." sqref="R7:R46"/>
    <x:dataValidation errorStyle="warning" showErrorMessage="1" errorTitle="Ungültige Geschwindigkeit" error="Bitte 80, 90, 100 oder 120 km/h auswählen." sqref="U7:U46"/>
  </x:dataValidations>
  <x:pageMargins left="0.7" right="0.7" top="0.75" bottom="0.75" header="0.3" footer="0.3"/>
  <x:drawing xmlns:r="http://schemas.openxmlformats.org/officeDocument/2006/relationships" r:id="R2958c978d04449e2"/>
</x:worksheet>
</file>

<file path=xl/worksheets/sheet2.xml><?xml version="1.0" encoding="utf-8"?>
<x:worksheet xmlns:x="http://schemas.openxmlformats.org/spreadsheetml/2006/main">
  <x:sheetPr>
    <x:tabColor theme="4"/>
  </x:sheetPr>
  <x:sheetFormatPr baseColWidth="10" defaultColWidth="10.7109375" defaultRowHeight="12.75"/>
  <x:cols>
    <x:col min="1" max="1" width="12.7109375" customWidth="1"/>
    <x:col min="2" max="2" width="8.42578125" customWidth="1"/>
    <x:col min="3" max="3" width="19.42578125" customWidth="1"/>
    <x:col min="4" max="4" width="25.85546875" customWidth="1"/>
    <x:col min="5" max="5" width="10.42578125" customWidth="1"/>
    <x:col min="6" max="6" width="10.28515625" customWidth="1"/>
    <x:col min="7" max="7" width="9.7109375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3.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1.75">
      <x:c r="A4" s="388" t="s">
        <x:v>56</x:v>
      </x:c>
      <x:c r="B4" s="389"/>
      <x:c r="C4" s="389"/>
      <x:c r="D4" s="974" t="n">
        <x:f>Wagenliste!K2</x:f>
        <x:v>46208</x:v>
      </x:c>
      <x:c r="E4" s="390"/>
      <x:c r="F4" s="390"/>
      <x:c r="G4" s="391"/>
      <x:c r="H4" s="2"/>
      <x:c r="I4" s="2"/>
      <x:c r="J4" s="2"/>
      <x:c r="K4" s="2"/>
      <x:c r="L4" s="2"/>
      <x:c r="M4" s="2"/>
      <x:c r="N4" s="2"/>
      <x:c r="O4" s="2"/>
    </x:row>
    <x:row r="5" ht="13.5">
      <x:c r="A5" s="392" t="s">
        <x:v>57</x:v>
      </x:c>
      <x:c r="B5" s="393"/>
      <x:c r="C5" s="393"/>
      <x:c r="D5" s="358"/>
      <x:c r="E5" s="357" t="s">
        <x:v>58</x:v>
      </x:c>
      <x:c r="F5" s="393"/>
      <x:c r="G5" s="394"/>
      <x:c r="H5" s="2"/>
      <x:c r="I5" s="2"/>
      <x:c r="J5" s="2"/>
      <x:c r="K5" s="2"/>
      <x:c r="L5" s="2"/>
      <x:c r="M5" s="2"/>
      <x:c r="N5" s="2"/>
      <x:c r="O5" s="2"/>
    </x:row>
    <x:row r="6" ht="13.5">
      <x:c r="A6" s="395" t="s">
        <x:v>59</x:v>
      </x:c>
      <x:c r="B6" s="396"/>
      <x:c r="C6" s="396"/>
      <x:c r="D6" s="397"/>
      <x:c r="E6" s="398" t="s">
        <x:v>60</x:v>
      </x:c>
      <x:c r="F6" s="396"/>
      <x:c r="G6" s="399"/>
      <x:c r="H6" s="2"/>
      <x:c r="I6" s="2"/>
      <x:c r="J6" s="2"/>
      <x:c r="K6" s="2"/>
      <x:c r="L6" s="2"/>
      <x:c r="M6" s="2"/>
      <x:c r="N6" s="2"/>
      <x:c r="O6" s="2"/>
    </x:row>
    <x:row r="7" ht="15.75">
      <x:c r="A7" s="371" t="n">
        <x:f>Wagenliste!C2</x:f>
        <x:v>0</x:v>
      </x:c>
      <x:c r="B7" s="372"/>
      <x:c r="C7" s="372"/>
      <x:c r="D7" s="373"/>
      <x:c r="E7" s="374" t="n">
        <x:f>Wagenliste!C3</x:f>
        <x:v>0</x:v>
      </x:c>
      <x:c r="F7" s="372"/>
      <x:c r="G7" s="375"/>
      <x:c r="H7" s="2"/>
      <x:c r="I7" s="2"/>
      <x:c r="J7" s="2"/>
      <x:c r="K7" s="2"/>
      <x:c r="L7" s="2"/>
      <x:c r="M7" s="2"/>
      <x:c r="N7" s="2"/>
      <x:c r="O7" s="2"/>
    </x:row>
    <x:row r="8" ht="15.75">
      <x:c r="A8" s="376"/>
      <x:c r="B8" s="377"/>
      <x:c r="C8" s="377"/>
      <x:c r="D8" s="378"/>
      <x:c r="E8" s="379"/>
      <x:c r="F8" s="380"/>
      <x:c r="G8" s="381"/>
      <x:c r="H8" s="2"/>
      <x:c r="I8" s="2"/>
      <x:c r="J8" s="2"/>
      <x:c r="K8" s="2"/>
      <x:c r="L8" s="2"/>
      <x:c r="M8" s="2"/>
      <x:c r="N8" s="2"/>
      <x:c r="O8" s="2"/>
    </x:row>
    <x:row r="9" ht="16.5">
      <x:c r="A9" s="382"/>
      <x:c r="B9" s="383"/>
      <x:c r="C9" s="383"/>
      <x:c r="D9" s="384"/>
      <x:c r="E9" s="385"/>
      <x:c r="F9" s="386"/>
      <x:c r="G9" s="387"/>
      <x:c r="H9" s="2"/>
      <x:c r="I9" s="2"/>
      <x:c r="J9" s="2"/>
      <x:c r="K9" s="2"/>
      <x:c r="L9" s="2"/>
      <x:c r="M9" s="2"/>
      <x:c r="N9" s="2"/>
      <x:c r="O9" s="2"/>
    </x:row>
    <x:row r="10" ht="13.5">
      <x:c r="A10" s="3">
        <x:v>1</x:v>
      </x:c>
      <x:c r="B10" s="4">
        <x:v>2</x:v>
      </x:c>
      <x:c r="C10" s="357">
        <x:v>3</x:v>
      </x:c>
      <x:c r="D10" s="358"/>
      <x:c r="E10" s="4">
        <x:v>4</x:v>
      </x:c>
      <x:c r="F10" s="4">
        <x:v>5</x:v>
      </x:c>
      <x:c r="G10" s="5">
        <x:v>6</x:v>
      </x:c>
      <x:c r="H10" s="2"/>
      <x:c r="I10" s="2"/>
      <x:c r="J10" s="2"/>
      <x:c r="K10" s="2"/>
      <x:c r="L10" s="2"/>
      <x:c r="M10" s="2"/>
      <x:c r="N10" s="2"/>
      <x:c r="O10" s="2"/>
    </x:row>
    <x:row r="11" ht="36.75">
      <x:c r="A11" s="6"/>
      <x:c r="B11" s="7" t="s">
        <x:v>61</x:v>
      </x:c>
      <x:c r="C11" s="359" t="s">
        <x:v>62</x:v>
      </x:c>
      <x:c r="D11" s="360"/>
      <x:c r="E11" s="7" t="s">
        <x:v>63</x:v>
      </x:c>
      <x:c r="F11" s="8" t="s">
        <x:v>64</x:v>
      </x:c>
      <x:c r="G11" s="9" t="s">
        <x:v>65</x:v>
      </x:c>
      <x:c r="H11" s="2"/>
      <x:c r="I11" s="2"/>
      <x:c r="J11" s="2"/>
      <x:c r="K11" s="2"/>
      <x:c r="L11" s="2"/>
      <x:c r="M11" s="2"/>
      <x:c r="N11" s="2"/>
      <x:c r="O11" s="2"/>
    </x:row>
    <x:row r="12" ht="14.25">
      <x:c r="A12" s="321" t="s">
        <x:v>66</x:v>
      </x:c>
      <x:c r="B12" s="10">
        <x:v>1</x:v>
      </x:c>
      <x:c r="C12" s="361" t="s">
        <x:v>67</x:v>
      </x:c>
      <x:c r="D12" s="362"/>
      <x:c r="E12" s="976" t="n">
        <x:f>Wagenliste!I55</x:f>
        <x:v>0</x:v>
      </x:c>
      <x:c r="F12" s="977"/>
      <x:c r="G12" s="978" t="n">
        <x:f>SUM(E12:F12)</x:f>
        <x:v>0</x:v>
      </x:c>
      <x:c r="H12" s="2"/>
      <x:c r="I12" s="2"/>
      <x:c r="J12" s="2"/>
      <x:c r="K12" s="2"/>
      <x:c r="L12" s="2"/>
      <x:c r="M12" s="2"/>
      <x:c r="N12" s="2"/>
      <x:c r="O12" s="2"/>
    </x:row>
    <x:row r="13" ht="14.25">
      <x:c r="A13" s="322"/>
      <x:c r="B13" s="11">
        <x:v>2</x:v>
      </x:c>
      <x:c r="C13" s="353" t="s">
        <x:v>68</x:v>
      </x:c>
      <x:c r="D13" s="354"/>
      <x:c r="E13" s="979" t="n">
        <x:f>Wagenliste!I54</x:f>
        <x:v>0</x:v>
      </x:c>
      <x:c r="F13" s="980"/>
      <x:c r="G13" s="978" t="n">
        <x:f t="shared" ref="G13:G14" si="0">SUM(E13:F13)</x:f>
        <x:v>0</x:v>
      </x:c>
      <x:c r="H13" s="2"/>
      <x:c r="I13" s="2"/>
      <x:c r="J13" s="2"/>
      <x:c r="K13" s="2"/>
      <x:c r="L13" s="2"/>
      <x:c r="M13" s="2"/>
      <x:c r="N13" s="2"/>
      <x:c r="O13" s="2"/>
    </x:row>
    <x:row r="14" ht="14.25">
      <x:c r="A14" s="322"/>
      <x:c r="B14" s="12">
        <x:v>3</x:v>
      </x:c>
      <x:c r="C14" s="326" t="s">
        <x:v>69</x:v>
      </x:c>
      <x:c r="D14" s="327"/>
      <x:c r="E14" s="851" t="n">
        <x:f>Wagenliste!I49</x:f>
        <x:v>0</x:v>
      </x:c>
      <x:c r="F14" s="981"/>
      <x:c r="G14" s="978" t="n">
        <x:f t="shared" si="0">SUM(E14:F14)</x:f>
        <x:v>0</x:v>
      </x:c>
      <x:c r="H14" s="2"/>
      <x:c r="I14" s="2"/>
      <x:c r="J14" s="2"/>
      <x:c r="K14" s="2"/>
      <x:c r="L14" s="2"/>
      <x:c r="M14" s="2"/>
      <x:c r="N14" s="2"/>
      <x:c r="O14" s="2"/>
    </x:row>
    <x:row r="15" ht="13.5">
      <x:c r="A15" s="322"/>
      <x:c r="B15" s="12">
        <x:v>4</x:v>
      </x:c>
      <x:c r="C15" s="326" t="s">
        <x:v>70</x:v>
      </x:c>
      <x:c r="D15" s="327"/>
      <x:c r="E15" s="982"/>
      <x:c r="F15" s="982"/>
      <x:c r="G15" s="983"/>
      <x:c r="H15" s="2"/>
      <x:c r="I15" s="2"/>
      <x:c r="J15" s="2"/>
      <x:c r="K15" s="2"/>
      <x:c r="L15" s="2"/>
      <x:c r="M15" s="2"/>
      <x:c r="N15" s="2"/>
      <x:c r="O15" s="2"/>
    </x:row>
    <x:row r="16" ht="38.25" customHeight="1">
      <x:c r="A16" s="322"/>
      <x:c r="B16" s="12">
        <x:v>5</x:v>
      </x:c>
      <x:c r="C16" s="13" t="s">
        <x:v>71</x:v>
      </x:c>
      <x:c r="D16" s="14" t="s">
        <x:v>72</x:v>
      </x:c>
      <x:c r="E16" s="984"/>
      <x:c r="F16" s="984"/>
      <x:c r="G16" s="983" t="n">
        <x:f>IF(G12&gt;0,ROUND(G13*100/G12,0),0)</x:f>
        <x:v>0</x:v>
      </x:c>
      <x:c r="H16" s="2"/>
      <x:c r="I16" s="2"/>
      <x:c r="J16" s="2"/>
      <x:c r="K16" s="2"/>
      <x:c r="L16" s="2"/>
      <x:c r="M16" s="2"/>
      <x:c r="N16" s="2"/>
      <x:c r="O16" s="2"/>
    </x:row>
    <x:row r="17" ht="15.75" customHeight="1">
      <x:c r="A17" s="322"/>
      <x:c r="B17" s="12">
        <x:v>6</x:v>
      </x:c>
      <x:c r="C17" s="326" t="s">
        <x:v>73</x:v>
      </x:c>
      <x:c r="D17" s="327"/>
      <x:c r="E17" s="365"/>
      <x:c r="F17" s="365"/>
      <x:c r="G17" s="48" t="s">
        <x:v>74</x:v>
      </x:c>
      <x:c r="H17" s="2"/>
      <x:c r="I17" s="2"/>
      <x:c r="J17" s="2"/>
      <x:c r="K17" s="2"/>
      <x:c r="L17" s="2"/>
      <x:c r="M17" s="2"/>
      <x:c r="N17" s="2"/>
      <x:c r="O17" s="2"/>
    </x:row>
    <x:row r="18" ht="15.75" customHeight="1">
      <x:c r="A18" s="322"/>
      <x:c r="B18" s="15">
        <x:v>7</x:v>
      </x:c>
      <x:c r="C18" s="366" t="s">
        <x:v>75</x:v>
      </x:c>
      <x:c r="D18" s="367"/>
      <x:c r="E18" s="368" t="str">
        <x:f>IFERROR(LOOKUP(2,1/(Wagenliste!F7:F46&lt;&gt;""),TEXT(Wagenliste!B7:B46,"00")&amp;" "&amp;TEXT(Wagenliste!C7:C46,"00")&amp;" "&amp;TEXT(Wagenliste!D7:D46,"0000")&amp;" "&amp;TEXT(Wagenliste!E7:E46,"000")&amp;"-"&amp;TEXT(Wagenliste!F7:F46,"0")),"")</x:f>
      </x:c>
      <x:c r="F18" s="369"/>
      <x:c r="G18" s="370"/>
      <x:c r="H18" s="2"/>
      <x:c r="I18" s="2"/>
      <x:c r="J18" s="2"/>
      <x:c r="K18" s="2"/>
      <x:c r="L18" s="2"/>
      <x:c r="M18" s="2"/>
      <x:c r="N18" s="2"/>
      <x:c r="O18" s="2"/>
    </x:row>
    <x:row r="19" ht="15.75" customHeight="1">
      <x:c r="A19" s="322"/>
      <x:c r="B19" s="11">
        <x:v>8</x:v>
      </x:c>
      <x:c r="C19" s="353" t="s">
        <x:v>76</x:v>
      </x:c>
      <x:c r="D19" s="354"/>
      <x:c r="E19" s="46">
        <x:v>0</x:v>
      </x:c>
      <x:c r="F19" s="355"/>
      <x:c r="G19" s="356"/>
      <x:c r="H19" s="2"/>
      <x:c r="I19" s="2"/>
      <x:c r="J19" s="2"/>
      <x:c r="K19" s="2"/>
      <x:c r="L19" s="2"/>
      <x:c r="M19" s="2"/>
      <x:c r="N19" s="2"/>
      <x:c r="O19" s="2"/>
    </x:row>
    <x:row r="20" ht="15.75" customHeight="1">
      <x:c r="A20" s="322"/>
      <x:c r="B20" s="12">
        <x:v>9</x:v>
      </x:c>
      <x:c r="C20" s="326" t="s">
        <x:v>77</x:v>
      </x:c>
      <x:c r="D20" s="327"/>
      <x:c r="E20" s="40" t="n">
        <x:f>Wagenliste!I50</x:f>
        <x:v>0</x:v>
      </x:c>
      <x:c r="F20" s="349"/>
      <x:c r="G20" s="350"/>
      <x:c r="H20" s="2"/>
      <x:c r="I20" s="2"/>
      <x:c r="J20" s="2"/>
      <x:c r="K20" s="2"/>
      <x:c r="L20" s="2"/>
      <x:c r="M20" s="2"/>
      <x:c r="N20" s="2"/>
      <x:c r="O20" s="2"/>
    </x:row>
    <x:row r="21" ht="16.5" customHeight="1">
      <x:c r="A21" s="322"/>
      <x:c r="B21" s="12">
        <x:v>10</x:v>
      </x:c>
      <x:c r="C21" s="16" t="s">
        <x:v>78</x:v>
      </x:c>
      <x:c r="D21" s="17"/>
      <x:c r="E21" s="40" t="n">
        <x:f>Wagenliste!I51</x:f>
        <x:v>0</x:v>
      </x:c>
      <x:c r="F21" s="349"/>
      <x:c r="G21" s="350"/>
      <x:c r="H21" s="2"/>
      <x:c r="I21" s="2"/>
      <x:c r="J21" s="2"/>
      <x:c r="K21" s="2"/>
      <x:c r="L21" s="2"/>
      <x:c r="M21" s="2"/>
      <x:c r="N21" s="2"/>
      <x:c r="O21" s="2"/>
    </x:row>
    <x:row r="22" ht="16.5" customHeight="1">
      <x:c r="A22" s="322"/>
      <x:c r="B22" s="12">
        <x:v>11</x:v>
      </x:c>
      <x:c r="C22" s="18" t="s">
        <x:v>79</x:v>
      </x:c>
      <x:c r="D22" s="17" t="s">
        <x:v>80</x:v>
      </x:c>
      <x:c r="E22" s="40" t="n">
        <x:f>Wagenliste!I52</x:f>
        <x:v>0</x:v>
      </x:c>
      <x:c r="F22" s="349"/>
      <x:c r="G22" s="350"/>
      <x:c r="H22" s="2"/>
      <x:c r="I22" s="2"/>
      <x:c r="J22" s="2"/>
      <x:c r="K22" s="2"/>
      <x:c r="L22" s="2"/>
      <x:c r="M22" s="2"/>
      <x:c r="N22" s="2"/>
      <x:c r="O22" s="2"/>
    </x:row>
    <x:row r="23" ht="13.5">
      <x:c r="A23" s="322"/>
      <x:c r="B23" s="12">
        <x:v>12</x:v>
      </x:c>
      <x:c r="C23" s="326" t="s">
        <x:v>81</x:v>
      </x:c>
      <x:c r="D23" s="327"/>
      <x:c r="E23" s="40">
        <x:v>0</x:v>
      </x:c>
      <x:c r="F23" s="351"/>
      <x:c r="G23" s="352"/>
      <x:c r="H23" s="2"/>
      <x:c r="I23" s="2"/>
      <x:c r="J23" s="2"/>
      <x:c r="K23" s="2"/>
      <x:c r="L23" s="2"/>
      <x:c r="M23" s="2"/>
      <x:c r="N23" s="2"/>
      <x:c r="O23" s="2"/>
    </x:row>
    <x:row r="24" ht="15.75" customHeight="1">
      <x:c r="A24" s="322"/>
      <x:c r="B24" s="12">
        <x:v>13</x:v>
      </x:c>
      <x:c r="C24" s="19" t="s">
        <x:v>82</x:v>
      </x:c>
      <x:c r="D24" s="20"/>
      <x:c r="E24" s="40" t="n">
        <x:f>Wagenliste!I53</x:f>
        <x:v>0</x:v>
      </x:c>
      <x:c r="F24" s="41"/>
      <x:c r="G24" s="1"/>
      <x:c r="H24" s="2"/>
      <x:c r="I24" s="2"/>
      <x:c r="J24" s="2"/>
      <x:c r="K24" s="2"/>
      <x:c r="L24" s="2"/>
      <x:c r="M24" s="2"/>
      <x:c r="N24" s="2"/>
      <x:c r="O24" s="2"/>
    </x:row>
    <x:row r="25" ht="17.25" customHeight="1">
      <x:c r="A25" s="322"/>
      <x:c r="B25" s="12">
        <x:v>14</x:v>
      </x:c>
      <x:c r="C25" s="326" t="s">
        <x:v>83</x:v>
      </x:c>
      <x:c r="D25" s="327"/>
      <x:c r="E25" s="40"/>
      <x:c r="F25" s="335"/>
      <x:c r="G25" s="336"/>
      <x:c r="H25" s="2"/>
      <x:c r="I25" s="2"/>
      <x:c r="J25" s="2"/>
      <x:c r="K25" s="2"/>
      <x:c r="L25" s="2"/>
      <x:c r="M25" s="2"/>
      <x:c r="N25" s="2"/>
      <x:c r="O25" s="2"/>
    </x:row>
    <x:row r="26" ht="41.25" customHeight="1">
      <x:c r="A26" s="322"/>
      <x:c r="B26" s="12">
        <x:v>15</x:v>
      </x:c>
      <x:c r="C26" s="21" t="s">
        <x:v>84</x:v>
      </x:c>
      <x:c r="D26" s="22" t="s">
        <x:v>85</x:v>
      </x:c>
      <x:c r="E26" s="4"/>
      <x:c r="F26" s="337"/>
      <x:c r="G26" s="338"/>
      <x:c r="H26" s="2"/>
      <x:c r="I26" s="2"/>
      <x:c r="J26" s="2"/>
      <x:c r="K26" s="2"/>
      <x:c r="L26" s="2"/>
      <x:c r="M26" s="2"/>
      <x:c r="N26" s="2"/>
      <x:c r="O26" s="2"/>
    </x:row>
    <x:row r="27" ht="36" customHeight="1">
      <x:c r="A27" s="322"/>
      <x:c r="B27" s="339">
        <x:v>16</x:v>
      </x:c>
      <x:c r="C27" s="341" t="s">
        <x:v>86</x:v>
      </x:c>
      <x:c r="D27" s="342"/>
      <x:c r="E27" s="23" t="s">
        <x:v>87</x:v>
      </x:c>
      <x:c r="F27" s="343"/>
      <x:c r="G27" s="345" t="s">
        <x:v>88</x:v>
      </x:c>
      <x:c r="H27" s="2"/>
      <x:c r="I27" s="2"/>
      <x:c r="J27" s="2"/>
      <x:c r="K27" s="2"/>
      <x:c r="L27" s="2"/>
      <x:c r="M27" s="2"/>
      <x:c r="N27" s="2"/>
      <x:c r="O27" s="2"/>
    </x:row>
    <x:row r="28" ht="28.5" customHeight="1">
      <x:c r="A28" s="323"/>
      <x:c r="B28" s="340"/>
      <x:c r="C28" s="347" t="s">
        <x:v>89</x:v>
      </x:c>
      <x:c r="D28" s="348"/>
      <x:c r="E28" s="24" t="s">
        <x:v>90</x:v>
      </x:c>
      <x:c r="F28" s="343"/>
      <x:c r="G28" s="345"/>
      <x:c r="H28" s="2"/>
      <x:c r="I28" s="2"/>
      <x:c r="J28" s="2"/>
      <x:c r="K28" s="2"/>
      <x:c r="L28" s="2"/>
      <x:c r="M28" s="2"/>
      <x:c r="N28" s="2"/>
      <x:c r="O28" s="2"/>
    </x:row>
    <x:row r="29" ht="28.5" customHeight="1">
      <x:c r="A29" s="321" t="s">
        <x:v>91</x:v>
      </x:c>
      <x:c r="B29" s="25">
        <x:v>21</x:v>
      </x:c>
      <x:c r="C29" s="324" t="s">
        <x:v>92</x:v>
      </x:c>
      <x:c r="D29" s="325"/>
      <x:c r="E29" s="26" t="s">
        <x:v>93</x:v>
      </x:c>
      <x:c r="F29" s="343"/>
      <x:c r="G29" s="345"/>
      <x:c r="H29" s="2"/>
      <x:c r="I29" s="2"/>
      <x:c r="J29" s="2"/>
      <x:c r="K29" s="2"/>
      <x:c r="L29" s="2"/>
      <x:c r="M29" s="2"/>
      <x:c r="N29" s="2"/>
      <x:c r="O29" s="2"/>
    </x:row>
    <x:row r="30" ht="18.75" customHeight="1">
      <x:c r="A30" s="322"/>
      <x:c r="B30" s="27">
        <x:v>22</x:v>
      </x:c>
      <x:c r="C30" s="326" t="s">
        <x:v>94</x:v>
      </x:c>
      <x:c r="D30" s="327"/>
      <x:c r="E30" s="12" t="s">
        <x:v>93</x:v>
      </x:c>
      <x:c r="F30" s="343"/>
      <x:c r="G30" s="345"/>
      <x:c r="H30" s="2"/>
      <x:c r="I30" s="2"/>
      <x:c r="J30" s="2"/>
      <x:c r="K30" s="2"/>
      <x:c r="L30" s="2"/>
      <x:c r="M30" s="2"/>
      <x:c r="N30" s="2"/>
      <x:c r="O30" s="2"/>
    </x:row>
    <x:row r="31" ht="24">
      <x:c r="A31" s="322"/>
      <x:c r="B31" s="28">
        <x:v>23</x:v>
      </x:c>
      <x:c r="C31" s="328" t="s">
        <x:v>95</x:v>
      </x:c>
      <x:c r="D31" s="29" t="s">
        <x:v>96</x:v>
      </x:c>
      <x:c r="E31" s="30" t="s">
        <x:v>93</x:v>
      </x:c>
      <x:c r="F31" s="343"/>
      <x:c r="G31" s="345"/>
      <x:c r="H31" s="2"/>
      <x:c r="I31" s="2"/>
      <x:c r="J31" s="2"/>
      <x:c r="K31" s="2"/>
      <x:c r="L31" s="2"/>
      <x:c r="M31" s="2"/>
      <x:c r="N31" s="2"/>
      <x:c r="O31" s="2"/>
    </x:row>
    <x:row r="32" ht="30" customHeight="1">
      <x:c r="A32" s="322"/>
      <x:c r="B32" s="31">
        <x:v>24</x:v>
      </x:c>
      <x:c r="C32" s="329"/>
      <x:c r="D32" s="32" t="s">
        <x:v>97</x:v>
      </x:c>
      <x:c r="E32" s="11" t="s">
        <x:v>93</x:v>
      </x:c>
      <x:c r="F32" s="343"/>
      <x:c r="G32" s="345"/>
      <x:c r="H32" s="2"/>
      <x:c r="I32" s="2"/>
      <x:c r="J32" s="2"/>
      <x:c r="K32" s="2"/>
      <x:c r="L32" s="2"/>
      <x:c r="M32" s="2"/>
      <x:c r="N32" s="2"/>
      <x:c r="O32" s="2"/>
    </x:row>
    <x:row r="33" ht="19.5" customHeight="1">
      <x:c r="A33" s="322"/>
      <x:c r="B33" s="27">
        <x:v>25</x:v>
      </x:c>
      <x:c r="C33" s="328" t="s">
        <x:v>98</x:v>
      </x:c>
      <x:c r="D33" s="33" t="s">
        <x:v>99</x:v>
      </x:c>
      <x:c r="E33" s="12" t="s">
        <x:v>93</x:v>
      </x:c>
      <x:c r="F33" s="343"/>
      <x:c r="G33" s="345"/>
      <x:c r="H33" s="2"/>
      <x:c r="I33" s="2"/>
      <x:c r="J33" s="2"/>
      <x:c r="K33" s="2"/>
      <x:c r="L33" s="2"/>
      <x:c r="M33" s="2"/>
      <x:c r="N33" s="2"/>
      <x:c r="O33" s="2"/>
    </x:row>
    <x:row r="34" ht="17.25" customHeight="1">
      <x:c r="A34" s="322"/>
      <x:c r="B34" s="27">
        <x:v>26</x:v>
      </x:c>
      <x:c r="C34" s="330"/>
      <x:c r="D34" s="34" t="s">
        <x:v>100</x:v>
      </x:c>
      <x:c r="E34" s="12" t="s">
        <x:v>93</x:v>
      </x:c>
      <x:c r="F34" s="343"/>
      <x:c r="G34" s="345"/>
      <x:c r="H34" s="2"/>
      <x:c r="I34" s="2"/>
      <x:c r="J34" s="2"/>
      <x:c r="K34" s="2"/>
      <x:c r="L34" s="2"/>
      <x:c r="M34" s="2"/>
      <x:c r="N34" s="2"/>
      <x:c r="O34" s="2"/>
    </x:row>
    <x:row r="35" ht="26.25">
      <x:c r="A35" s="323"/>
      <x:c r="B35" s="35">
        <x:v>27</x:v>
      </x:c>
      <x:c r="C35" s="331"/>
      <x:c r="D35" s="36" t="s">
        <x:v>101</x:v>
      </x:c>
      <x:c r="E35" s="37" t="s">
        <x:v>93</x:v>
      </x:c>
      <x:c r="F35" s="343"/>
      <x:c r="G35" s="345"/>
      <x:c r="H35" s="2"/>
      <x:c r="I35" s="2"/>
      <x:c r="J35" s="2"/>
      <x:c r="K35" s="2"/>
      <x:c r="L35" s="2"/>
      <x:c r="M35" s="2"/>
      <x:c r="N35" s="2"/>
      <x:c r="O35" s="2"/>
    </x:row>
    <x:row r="36" ht="24.75" customHeight="1">
      <x:c r="A36" s="321" t="s">
        <x:v>102</x:v>
      </x:c>
      <x:c r="B36" s="26">
        <x:v>31</x:v>
      </x:c>
      <x:c r="C36" s="324" t="s">
        <x:v>103</x:v>
      </x:c>
      <x:c r="D36" s="325"/>
      <x:c r="E36" s="38" t="s">
        <x:v>104</x:v>
      </x:c>
      <x:c r="F36" s="343"/>
      <x:c r="G36" s="345"/>
      <x:c r="H36" s="2"/>
      <x:c r="I36" s="2"/>
      <x:c r="J36" s="2"/>
      <x:c r="K36" s="2"/>
      <x:c r="L36" s="2"/>
      <x:c r="M36" s="2"/>
      <x:c r="N36" s="2"/>
      <x:c r="O36" s="2"/>
    </x:row>
    <x:row r="37" ht="25.5" customHeight="1">
      <x:c r="A37" s="332"/>
      <x:c r="B37" s="12">
        <x:v>32</x:v>
      </x:c>
      <x:c r="C37" s="333" t="s">
        <x:v>105</x:v>
      </x:c>
      <x:c r="D37" s="334"/>
      <x:c r="E37" s="38" t="s">
        <x:v>104</x:v>
      </x:c>
      <x:c r="F37" s="344"/>
      <x:c r="G37" s="346"/>
      <x:c r="H37" s="2"/>
      <x:c r="I37" s="2"/>
      <x:c r="J37" s="2"/>
      <x:c r="K37" s="2"/>
      <x:c r="L37" s="2"/>
      <x:c r="M37" s="2"/>
      <x:c r="N37" s="2"/>
      <x:c r="O37" s="2"/>
    </x:row>
    <x:row r="38" ht="19.5" customHeight="1">
      <x:c r="A38" s="316" t="s">
        <x:v>106</x:v>
      </x:c>
      <x:c r="B38" s="317"/>
      <x:c r="C38" s="317"/>
      <x:c r="D38" s="317"/>
      <x:c r="E38" s="317"/>
      <x:c r="F38" s="317"/>
      <x:c r="G38" s="318"/>
      <x:c r="H38" s="2"/>
      <x:c r="I38" s="2"/>
      <x:c r="J38" s="2"/>
      <x:c r="K38" s="2"/>
      <x:c r="L38" s="2"/>
      <x:c r="M38" s="2"/>
      <x:c r="N38" s="2"/>
      <x:c r="O38" s="2"/>
    </x:row>
    <x:row r="39" ht="14.25" customHeight="1">
      <x:c r="A39" s="319"/>
      <x:c r="B39" s="319"/>
      <x:c r="C39" s="319"/>
      <x:c r="D39" s="320" t="s">
        <x:v>107</x:v>
      </x:c>
      <x:c r="E39" s="320"/>
      <x:c r="F39" s="320"/>
      <x:c r="G39" s="320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</x:sheetData>
  <x:mergeCells>
    <x:mergeCell ref="A4:C4"/>
    <x:mergeCell ref="E4:G4"/>
    <x:mergeCell ref="A5:D5"/>
    <x:mergeCell ref="E5:G5"/>
    <x:mergeCell ref="A6:D6"/>
    <x:mergeCell ref="E6:G6"/>
    <x:mergeCell ref="A7:D7"/>
    <x:mergeCell ref="E7:G7"/>
    <x:mergeCell ref="A8:D8"/>
    <x:mergeCell ref="E8:G8"/>
    <x:mergeCell ref="A9:D9"/>
    <x:mergeCell ref="E9:G9"/>
    <x:mergeCell ref="C19:D19"/>
    <x:mergeCell ref="F19:G19"/>
    <x:mergeCell ref="C10:D10"/>
    <x:mergeCell ref="C11:D11"/>
    <x:mergeCell ref="A12:A28"/>
    <x:mergeCell ref="C12:D12"/>
    <x:mergeCell ref="C13:D13"/>
    <x:mergeCell ref="C14:D14"/>
    <x:mergeCell ref="C15:D15"/>
    <x:mergeCell ref="C20:D20"/>
    <x:mergeCell ref="C25:D25"/>
    <x:mergeCell ref="E15:E17"/>
    <x:mergeCell ref="F15:F17"/>
    <x:mergeCell ref="C17:D17"/>
    <x:mergeCell ref="C18:D18"/>
    <x:mergeCell ref="E18:G18"/>
    <x:mergeCell ref="F20:G20"/>
    <x:mergeCell ref="F21:G21"/>
    <x:mergeCell ref="F22:G22"/>
    <x:mergeCell ref="C23:D23"/>
    <x:mergeCell ref="F23:G23"/>
    <x:mergeCell ref="F25:G25"/>
    <x:mergeCell ref="F26:G26"/>
    <x:mergeCell ref="B27:B28"/>
    <x:mergeCell ref="C27:D27"/>
    <x:mergeCell ref="F27:F37"/>
    <x:mergeCell ref="G27:G37"/>
    <x:mergeCell ref="C28:D28"/>
    <x:mergeCell ref="A38:G38"/>
    <x:mergeCell ref="A39:C39"/>
    <x:mergeCell ref="D39:G39"/>
    <x:mergeCell ref="A29:A35"/>
    <x:mergeCell ref="C29:D29"/>
    <x:mergeCell ref="C30:D30"/>
    <x:mergeCell ref="C31:C32"/>
    <x:mergeCell ref="C33:C35"/>
    <x:mergeCell ref="A36:A37"/>
    <x:mergeCell ref="C36:D36"/>
    <x:mergeCell ref="C37:D37"/>
  </x:mergeCells>
  <x:conditionalFormatting sqref="G16:G16">
    <x:cfRule type="expression" dxfId="43" priority="1">
      <x:formula>ISERROR(G16)</x:formula>
    </x:cfRule>
  </x:conditionalFormatting>
  <x:pageMargins left="0.7" right="0.7" top="0.75" bottom="0.75" header="0.3" footer="0.3"/>
  <x:drawing xmlns:r="http://schemas.openxmlformats.org/officeDocument/2006/relationships" r:id="R0f1bec2f8aed4226"/>
</x:worksheet>
</file>